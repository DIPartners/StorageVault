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ko\Desktop\StorageVault\Data Conversions\"/>
    </mc:Choice>
  </mc:AlternateContent>
  <xr:revisionPtr revIDLastSave="0" documentId="13_ncr:1_{F6BDC253-F4BB-4221-8E57-828AD5C5DA44}" xr6:coauthVersionLast="45" xr6:coauthVersionMax="45" xr10:uidLastSave="{00000000-0000-0000-0000-000000000000}"/>
  <bookViews>
    <workbookView xWindow="-120" yWindow="-120" windowWidth="29040" windowHeight="15840" tabRatio="781" xr2:uid="{00000000-000D-0000-FFFF-FFFF00000000}"/>
  </bookViews>
  <sheets>
    <sheet name="Generate" sheetId="15" r:id="rId1"/>
    <sheet name="Schema" sheetId="55" r:id="rId2"/>
    <sheet name="Workflows" sheetId="62" r:id="rId3"/>
    <sheet name="Data Type" sheetId="54" r:id="rId4"/>
    <sheet name="Member" sheetId="60" r:id="rId5"/>
    <sheet name="Language" sheetId="3" r:id="rId6"/>
    <sheet name="Output Type" sheetId="58" r:id="rId7"/>
    <sheet name="Report File Type" sheetId="59" r:id="rId8"/>
  </sheets>
  <functionGroups builtInGroupCount="19"/>
  <externalReferences>
    <externalReference r:id="rId9"/>
  </externalReferences>
  <definedNames>
    <definedName name="ApprovalType">Language!$A:$A</definedName>
    <definedName name="ColumnTitle1">#REF!</definedName>
    <definedName name="ColumnTitleRegion1..B11.1">#REF!</definedName>
    <definedName name="ColumnTitleRegion1..B7.1">#REF!</definedName>
    <definedName name="ColumnTitleRegion2..D6.1">#REF!</definedName>
    <definedName name="Company_Name">#REF!</definedName>
    <definedName name="CompanySetup_AddressLine1">INDEX([1]!CompanySetup[VALUE],MATCH("Address Line 1",[1]!CompanySetup[INVOICING COMPANY DETAILS],0))</definedName>
    <definedName name="CompanySetup_AddressLine2">INDEX([1]!CompanySetup[VALUE],MATCH("Address Line 2",[1]!CompanySetup[INVOICING COMPANY DETAILS],0))</definedName>
    <definedName name="CompanySetup_AddressLine3">INDEX([1]!CompanySetup[VALUE],MATCH("Address Line 3",[1]!CompanySetup[INVOICING COMPANY DETAILS],0))</definedName>
    <definedName name="CompanySetup_AddressLine4">INDEX([1]!CompanySetup[VALUE],MATCH("Address Line 4",[1]!CompanySetup[INVOICING COMPANY DETAILS],0))</definedName>
    <definedName name="CompanySetup_AddressLine5">INDEX([1]!CompanySetup[VALUE],MATCH("Address Line 5",[1]!CompanySetup[INVOICING COMPANY DETAILS],0))</definedName>
    <definedName name="CompanySetup_BankAccount">INDEX([1]!CompanySetup[VALUE],MATCH("Account Number",[1]!CompanySetup[INVOICING COMPANY DETAILS],0))</definedName>
    <definedName name="CompanySetup_BankAddress">INDEX([1]!CompanySetup[VALUE],MATCH("Address of Bank",[1]!CompanySetup[INVOICING COMPANY DETAILS],0))</definedName>
    <definedName name="CompanySetup_BankBeneficiaryName">INDEX([1]!CompanySetup[VALUE],MATCH("Name of Beneficiary for Bank Wire",[1]!CompanySetup[INVOICING COMPANY DETAILS],0))</definedName>
    <definedName name="CompanySetup_BankName">INDEX([1]!CompanySetup[VALUE],MATCH("Name of Bank",[1]!CompanySetup[INVOICING COMPANY DETAILS],0))</definedName>
    <definedName name="CompanySetup_BankRouting">INDEX([1]!CompanySetup[VALUE],MATCH("Routing Number (SWIFT Code)",[1]!CompanySetup[INVOICING COMPANY DETAILS],0))</definedName>
    <definedName name="CompanySetup_CheckPayee">INDEX([1]!CompanySetup[VALUE],MATCH("Make Checks Payable To",[1]!CompanySetup[INVOICING COMPANY DETAILS],0))</definedName>
    <definedName name="CompanySetup_YourCompanyName">INDEX([1]!CompanySetup[VALUE],MATCH("Company Name",[1]!CompanySetup[INVOICING COMPANY DETAILS],0))</definedName>
    <definedName name="CompanySetup_YourCurrencyAbbreviation">INDEX([1]!CompanySetup[VALUE],MATCH("Currency Abbreviation",[1]!CompanySetup[INVOICING COMPANY DETAILS],0))</definedName>
    <definedName name="CompanySetup_YourEmail">INDEX([1]!CompanySetup[VALUE],MATCH("EMail",[1]!CompanySetup[INVOICING COMPANY DETAILS],0))</definedName>
    <definedName name="CompanySetup_YourFax">INDEX([1]!CompanySetup[VALUE],MATCH("Facsimile",[1]!CompanySetup[INVOICING COMPANY DETAILS],0))</definedName>
    <definedName name="CompanySetup_YourName">INDEX([1]!CompanySetup[VALUE],MATCH("Your Name",[1]!CompanySetup[INVOICING COMPANY DETAILS],0))</definedName>
    <definedName name="CompanySetup_YourPhone">INDEX([1]!CompanySetup[VALUE],MATCH("Phone",[1]!CompanySetup[INVOICING COMPANY DETAILS],0))</definedName>
    <definedName name="CompanySetup_YourURL">INDEX([1]!CompanySetup[VALUE],MATCH("Website",[1]!CompanySetup[INVOICING COMPANY DETAILS],0))</definedName>
    <definedName name="Country">#REF!</definedName>
    <definedName name="GLAccount">#REF!</definedName>
    <definedName name="InvoiceNumberDisplay">#REF!</definedName>
    <definedName name="InvoiceTotal">#REF!</definedName>
    <definedName name="PaymentType">#REF!</definedName>
    <definedName name="ProvState">#REF!</definedName>
    <definedName name="RowTitleRegion1..C3">#REF!</definedName>
    <definedName name="RowTitleRegion1..E5">#REF!</definedName>
    <definedName name="RowTitleRegion2..E27">#REF!</definedName>
    <definedName name="Title2">[1]!CompanySetup[[#Headers],[INVOICING COMPANY DETAILS]]</definedName>
    <definedName name="Vendo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62" l="1"/>
  <c r="G17" i="62"/>
  <c r="F17" i="62"/>
  <c r="I16" i="62"/>
  <c r="G16" i="62"/>
  <c r="F16" i="62"/>
  <c r="I15" i="62"/>
  <c r="G15" i="62"/>
  <c r="F15" i="62"/>
  <c r="I14" i="62"/>
  <c r="G14" i="62"/>
  <c r="F14" i="62"/>
  <c r="I13" i="62"/>
  <c r="G13" i="62"/>
  <c r="F13" i="62"/>
  <c r="I12" i="62"/>
  <c r="G12" i="62"/>
  <c r="F12" i="62"/>
  <c r="I11" i="62"/>
  <c r="G11" i="62"/>
  <c r="F11" i="62"/>
  <c r="I10" i="62"/>
  <c r="G10" i="62"/>
  <c r="F10" i="62"/>
  <c r="I9" i="62"/>
  <c r="G9" i="62"/>
  <c r="F9" i="62"/>
  <c r="I8" i="62"/>
  <c r="G8" i="62"/>
  <c r="F8" i="62"/>
  <c r="I7" i="62"/>
  <c r="G7" i="62"/>
  <c r="F7" i="62"/>
  <c r="I6" i="62"/>
  <c r="G6" i="62"/>
  <c r="F6" i="62"/>
  <c r="I5" i="62"/>
  <c r="G5" i="62"/>
  <c r="F5" i="62"/>
  <c r="I4" i="62"/>
  <c r="G4" i="62"/>
  <c r="F4" i="62"/>
  <c r="I3" i="62"/>
  <c r="G3" i="62"/>
  <c r="F3" i="62"/>
  <c r="I2" i="62"/>
  <c r="G2" i="62"/>
  <c r="F2" i="62"/>
</calcChain>
</file>

<file path=xl/sharedStrings.xml><?xml version="1.0" encoding="utf-8"?>
<sst xmlns="http://schemas.openxmlformats.org/spreadsheetml/2006/main" count="1893" uniqueCount="1142">
  <si>
    <t>Name</t>
  </si>
  <si>
    <t>VaultName</t>
  </si>
  <si>
    <t>Vaults</t>
  </si>
  <si>
    <t>Lists</t>
  </si>
  <si>
    <t>Once Only Lists</t>
  </si>
  <si>
    <t>Objects to Load</t>
  </si>
  <si>
    <t>Objects to Clear</t>
  </si>
  <si>
    <t>Object Name</t>
  </si>
  <si>
    <t>Object Class</t>
  </si>
  <si>
    <t>Property Name</t>
  </si>
  <si>
    <t>Property Data Type</t>
  </si>
  <si>
    <t>MFDatatypeBoolean</t>
  </si>
  <si>
    <t>MFDatatypeDate</t>
  </si>
  <si>
    <t>MFDatatypeFILETIME</t>
  </si>
  <si>
    <t>MFDatatypeFloating</t>
  </si>
  <si>
    <t>MFDatatypeInteger</t>
  </si>
  <si>
    <t>MFDatatypeInteger64</t>
  </si>
  <si>
    <t>MFDatatypeLookup</t>
  </si>
  <si>
    <t>MFDatatypeMultiLineText</t>
  </si>
  <si>
    <t>MFDatatypeMultiSelectLookup</t>
  </si>
  <si>
    <t>MFDatatypeText</t>
  </si>
  <si>
    <t>MFDatatypeTime</t>
  </si>
  <si>
    <t>MFDatatypeTimestamp</t>
  </si>
  <si>
    <t>Lookup Object</t>
  </si>
  <si>
    <t>Simple Concatenation</t>
  </si>
  <si>
    <t>Object Name Plural</t>
  </si>
  <si>
    <t>OSBIE</t>
  </si>
  <si>
    <t>Required</t>
  </si>
  <si>
    <t>Name Field For Class</t>
  </si>
  <si>
    <t>Property Deductible</t>
  </si>
  <si>
    <t>TYProperty Premium</t>
  </si>
  <si>
    <t>TYCrime Premium</t>
  </si>
  <si>
    <t>Boiler Deductible</t>
  </si>
  <si>
    <t>TYBoiler Premium</t>
  </si>
  <si>
    <t>TYLiability Premium</t>
  </si>
  <si>
    <t>TYNonOwn Auto Premium</t>
  </si>
  <si>
    <t>TYLiability Premium Total</t>
  </si>
  <si>
    <t>TYCyber Premium</t>
  </si>
  <si>
    <t>Legal Expense Limit</t>
  </si>
  <si>
    <t>TYLegal Expense Premium</t>
  </si>
  <si>
    <t>Fleet Auto Premium</t>
  </si>
  <si>
    <t>Total Taxable Premium</t>
  </si>
  <si>
    <t>Premium Subtotal</t>
  </si>
  <si>
    <t>Premium PST</t>
  </si>
  <si>
    <t>LYLiability Premium</t>
  </si>
  <si>
    <t>TYLiabilityLegalExposureChg</t>
  </si>
  <si>
    <t>TYLiabilityClaimsExper</t>
  </si>
  <si>
    <t>LYProperty Premium</t>
  </si>
  <si>
    <t>TYProperyExposureChg</t>
  </si>
  <si>
    <t>TYPropertyClaimsExper</t>
  </si>
  <si>
    <t>LYBoiler Premium</t>
  </si>
  <si>
    <t>TYBoilerExposureChg</t>
  </si>
  <si>
    <t>LYCrime Premium</t>
  </si>
  <si>
    <t>TYCrimeExposureChg</t>
  </si>
  <si>
    <t>LYAuto Premium</t>
  </si>
  <si>
    <t>TYAutoExposureChg</t>
  </si>
  <si>
    <t>TYAuto Premium NoEndors</t>
  </si>
  <si>
    <t>LYCyber Premium</t>
  </si>
  <si>
    <t>TYCyberExposureChg</t>
  </si>
  <si>
    <t>LYLegal Expense Premium</t>
  </si>
  <si>
    <t>LYStudentCount</t>
  </si>
  <si>
    <t>TYStudentCount</t>
  </si>
  <si>
    <t>LYSqFt</t>
  </si>
  <si>
    <t>TYSqFt</t>
  </si>
  <si>
    <t>LYBoilerCount</t>
  </si>
  <si>
    <t>TYBoilerCount</t>
  </si>
  <si>
    <t>LYVehicleCount</t>
  </si>
  <si>
    <t>TYVehicleCount</t>
  </si>
  <si>
    <t>LYCyberRecordCount</t>
  </si>
  <si>
    <t>TYCyberRecordCount</t>
  </si>
  <si>
    <t>Member Data</t>
  </si>
  <si>
    <t>Member Data Values</t>
  </si>
  <si>
    <t>Member ID</t>
  </si>
  <si>
    <t>Members</t>
  </si>
  <si>
    <t>Member Number</t>
  </si>
  <si>
    <t>Member</t>
  </si>
  <si>
    <t>Data Type</t>
  </si>
  <si>
    <t>English</t>
  </si>
  <si>
    <t>French</t>
  </si>
  <si>
    <t>DOCX</t>
  </si>
  <si>
    <t>PDF</t>
  </si>
  <si>
    <t>Language</t>
  </si>
  <si>
    <t>Languages</t>
  </si>
  <si>
    <t>Output Type</t>
  </si>
  <si>
    <t>Output Types</t>
  </si>
  <si>
    <t>Report File Type</t>
  </si>
  <si>
    <t>Customer Cover Letter</t>
  </si>
  <si>
    <t>Customer Fact Sheet</t>
  </si>
  <si>
    <t>Customer Invoice</t>
  </si>
  <si>
    <t>Master Report Generator</t>
  </si>
  <si>
    <t>Report Dataset</t>
  </si>
  <si>
    <t>Report Dataset Loader</t>
  </si>
  <si>
    <t>%PROPERTY_{vProperty.MemberNumber}% - %PROPERTY_{vProperty.MemberName}%</t>
  </si>
  <si>
    <t>Member Name</t>
  </si>
  <si>
    <t>First Name</t>
  </si>
  <si>
    <t>Last Name</t>
  </si>
  <si>
    <t>Job Title</t>
  </si>
  <si>
    <t>Business Street</t>
  </si>
  <si>
    <t>Business City</t>
  </si>
  <si>
    <t>Business State</t>
  </si>
  <si>
    <t>Business Postal Code</t>
  </si>
  <si>
    <t>Email</t>
  </si>
  <si>
    <t>Document</t>
  </si>
  <si>
    <t>Documents</t>
  </si>
  <si>
    <t>Master Report File</t>
  </si>
  <si>
    <t>Report File Name</t>
  </si>
  <si>
    <t>Year</t>
  </si>
  <si>
    <t>Report Output</t>
  </si>
  <si>
    <t>Report Generator</t>
  </si>
  <si>
    <t>Report Generators</t>
  </si>
  <si>
    <t>Generator Name</t>
  </si>
  <si>
    <t>Master Generator File</t>
  </si>
  <si>
    <t>Dataset Record Key</t>
  </si>
  <si>
    <t>Run</t>
  </si>
  <si>
    <t>Last Run</t>
  </si>
  <si>
    <t>Filter</t>
  </si>
  <si>
    <t>Class&lt;=&gt;Master Report File~Report File Type&lt;=&gt;Master Report Generator</t>
  </si>
  <si>
    <t>Report File Types</t>
  </si>
  <si>
    <t>JV 01000</t>
  </si>
  <si>
    <t>Sudbury Student Services Consortium</t>
  </si>
  <si>
    <t>Renee</t>
  </si>
  <si>
    <t>Boucher</t>
  </si>
  <si>
    <t>Executive Director</t>
  </si>
  <si>
    <t>199 Travers Street</t>
  </si>
  <si>
    <t>Sudbury</t>
  </si>
  <si>
    <t>ON</t>
  </si>
  <si>
    <t>P3C 3K2</t>
  </si>
  <si>
    <t>boucherr@businfo.ca</t>
  </si>
  <si>
    <t>JV 01001</t>
  </si>
  <si>
    <t>Humberwood Centre, c/o Allsource, Inc</t>
  </si>
  <si>
    <t>Wayne</t>
  </si>
  <si>
    <t>Morrissey</t>
  </si>
  <si>
    <t>Facility Manager</t>
  </si>
  <si>
    <t>850 Humberwood Blvd.</t>
  </si>
  <si>
    <t>Etobicoke</t>
  </si>
  <si>
    <t>M9W 7A6</t>
  </si>
  <si>
    <t>wmorrissey@allsourceinc.ca</t>
  </si>
  <si>
    <t>JV 01002</t>
  </si>
  <si>
    <t>Tri Board Student Transportation Services</t>
  </si>
  <si>
    <t>Gord</t>
  </si>
  <si>
    <t>Taylor</t>
  </si>
  <si>
    <t>CEO</t>
  </si>
  <si>
    <t>81 Dairy Avenue</t>
  </si>
  <si>
    <t>NAPANEE</t>
  </si>
  <si>
    <t>K7R 1M5</t>
  </si>
  <si>
    <t>taylorg@triboard.ca</t>
  </si>
  <si>
    <t>JV 01003</t>
  </si>
  <si>
    <t>Simcoe County Student Transportation Consortium</t>
  </si>
  <si>
    <t>John</t>
  </si>
  <si>
    <t>Barbato</t>
  </si>
  <si>
    <t>Chief Executive Officer and General Manager</t>
  </si>
  <si>
    <t>1403-64 Cedar Pointe Drive</t>
  </si>
  <si>
    <t>Barrie</t>
  </si>
  <si>
    <t>L4N 5R7</t>
  </si>
  <si>
    <t>jbarbato@scstc.ca</t>
  </si>
  <si>
    <t>JV 01004</t>
  </si>
  <si>
    <t>Nipissing-Parry Sound Student Transportation Services/Services de transport scolaire</t>
  </si>
  <si>
    <t>Daniel</t>
  </si>
  <si>
    <t>Johnston</t>
  </si>
  <si>
    <t>Operations Manager</t>
  </si>
  <si>
    <t>201-685 rue Bloem Street</t>
  </si>
  <si>
    <t>North Bay</t>
  </si>
  <si>
    <t>P1B 4Z5</t>
  </si>
  <si>
    <t>johnstond@npssts.ca</t>
  </si>
  <si>
    <t>JV 01006</t>
  </si>
  <si>
    <t>Vellore Village</t>
  </si>
  <si>
    <t>Anthony</t>
  </si>
  <si>
    <t>Yeung</t>
  </si>
  <si>
    <t>Sr. Manager of Budget &amp; Audit Services</t>
  </si>
  <si>
    <t>320 Bloomington Road W.</t>
  </si>
  <si>
    <t>Aurora</t>
  </si>
  <si>
    <t>L4G 3G8</t>
  </si>
  <si>
    <t>anthony.yeung@ycdsb.ca</t>
  </si>
  <si>
    <t>JV 01007</t>
  </si>
  <si>
    <t>Student Transportation Services of Central Ontario (STSCO)</t>
  </si>
  <si>
    <t>Joel</t>
  </si>
  <si>
    <t>Sloggett</t>
  </si>
  <si>
    <t>Chief Administrative Officer</t>
  </si>
  <si>
    <t>885 Clonsilla Ave</t>
  </si>
  <si>
    <t>Peterborough</t>
  </si>
  <si>
    <t>K9J 5Y2</t>
  </si>
  <si>
    <t>jsloggett@stsco.ca</t>
  </si>
  <si>
    <t>JV 01008</t>
  </si>
  <si>
    <t>Shared School - Chelmsford, ON</t>
  </si>
  <si>
    <t>Karin</t>
  </si>
  <si>
    <t>Kozman</t>
  </si>
  <si>
    <t>Manager of Finance</t>
  </si>
  <si>
    <t>408 Wembley Drive</t>
  </si>
  <si>
    <t>P3E 1P2</t>
  </si>
  <si>
    <t>kozmank@rainbowschools.ca</t>
  </si>
  <si>
    <t>JV 01009</t>
  </si>
  <si>
    <t>Durham Student Transportation Services</t>
  </si>
  <si>
    <t>Carly</t>
  </si>
  <si>
    <t>Nelson</t>
  </si>
  <si>
    <t>Insurance Secretary</t>
  </si>
  <si>
    <t>400 Taunton Road East</t>
  </si>
  <si>
    <t>WHITBY</t>
  </si>
  <si>
    <t>L1R 2K6</t>
  </si>
  <si>
    <t>carly.nelson@ddsb.ca</t>
  </si>
  <si>
    <t>JV 01011</t>
  </si>
  <si>
    <t>Windsor-Essex Student Transportation Services</t>
  </si>
  <si>
    <t>Shelley</t>
  </si>
  <si>
    <t>Armstrong</t>
  </si>
  <si>
    <t>Superintendent of Business &amp; Treasurer</t>
  </si>
  <si>
    <t>Greater Essex County DSB_x000D_
Box 210, 451 Park St. W.</t>
  </si>
  <si>
    <t>Windsor</t>
  </si>
  <si>
    <t>N9A 6K1</t>
  </si>
  <si>
    <t>Shelley.Armstrong@publicboard.ca</t>
  </si>
  <si>
    <t>JV 01012</t>
  </si>
  <si>
    <t>Wellington-Dufferin Student Transportation Services</t>
  </si>
  <si>
    <t>Divid</t>
  </si>
  <si>
    <t>Frier</t>
  </si>
  <si>
    <t>CAO</t>
  </si>
  <si>
    <t>66 Arrow Rd., Unit B</t>
  </si>
  <si>
    <t>GUELPH</t>
  </si>
  <si>
    <t>N1K 1T4</t>
  </si>
  <si>
    <t>david@stwdsts.ca</t>
  </si>
  <si>
    <t>JV 01013</t>
  </si>
  <si>
    <t>Halton Student Transportation Services</t>
  </si>
  <si>
    <t>Karen</t>
  </si>
  <si>
    <t>Lacroix</t>
  </si>
  <si>
    <t>General Manager</t>
  </si>
  <si>
    <t>3190 Harvester Rd.</t>
  </si>
  <si>
    <t>BURLINGTON</t>
  </si>
  <si>
    <t>L7N 3T1</t>
  </si>
  <si>
    <t>lacroixk@haltonbus.ca</t>
  </si>
  <si>
    <t>JV 01014</t>
  </si>
  <si>
    <t>Chatham Kent Lambton Administrative School Services (CLASS)</t>
  </si>
  <si>
    <t>Kent</t>
  </si>
  <si>
    <t>Orr</t>
  </si>
  <si>
    <t>General Manager of CLASS</t>
  </si>
  <si>
    <t>420 Creek Street</t>
  </si>
  <si>
    <t>WALLACEBURG</t>
  </si>
  <si>
    <t>N8A 4C4</t>
  </si>
  <si>
    <t>kent.orr@cklass.ca</t>
  </si>
  <si>
    <t>JV 01015</t>
  </si>
  <si>
    <t>JC Richardson/Notre Dame CSS</t>
  </si>
  <si>
    <t>Scott</t>
  </si>
  <si>
    <t>Grieve</t>
  </si>
  <si>
    <t>Superintendent of Facilities, Maintenance and Custodial Services</t>
  </si>
  <si>
    <t>c/o Durham Catholic District School Board_x000D_
650 Ross</t>
  </si>
  <si>
    <t>Oshawa</t>
  </si>
  <si>
    <t>L1J 7C4</t>
  </si>
  <si>
    <t>Scott.grieve@dcdsb.ca</t>
  </si>
  <si>
    <t>JV 01016</t>
  </si>
  <si>
    <t>Student Transportation Service Consortium of Grey Bruce</t>
  </si>
  <si>
    <t>Steve</t>
  </si>
  <si>
    <t>Lustig</t>
  </si>
  <si>
    <t>c/o Bruce Grey Catholic DSB_x000D_
799 16th Avenue</t>
  </si>
  <si>
    <t>Hanover</t>
  </si>
  <si>
    <t>N4N 3A1</t>
  </si>
  <si>
    <t>steve.lustig@stscgb.ca</t>
  </si>
  <si>
    <t>JV 01017</t>
  </si>
  <si>
    <t>Francobus Consortium</t>
  </si>
  <si>
    <t>Nancy</t>
  </si>
  <si>
    <t>Bouchard</t>
  </si>
  <si>
    <t>Directrice du consortium</t>
  </si>
  <si>
    <t>138, rue Main Est, bureau 205</t>
  </si>
  <si>
    <t>Welland</t>
  </si>
  <si>
    <t>L3B 3W6</t>
  </si>
  <si>
    <t>bouchardn@francobus.ca</t>
  </si>
  <si>
    <t>JV 01018</t>
  </si>
  <si>
    <t>Niagara Student Transportation Services</t>
  </si>
  <si>
    <t>Lori</t>
  </si>
  <si>
    <t>Powell</t>
  </si>
  <si>
    <t>3900 Kalar Road</t>
  </si>
  <si>
    <t>Niagara Falls</t>
  </si>
  <si>
    <t>L2E 6S4</t>
  </si>
  <si>
    <t>Lori.Powell@nsts.ca</t>
  </si>
  <si>
    <t>JV 01019</t>
  </si>
  <si>
    <t>Student Transportation Services of Waterloo Region, Inc.</t>
  </si>
  <si>
    <t>Benoit</t>
  </si>
  <si>
    <t>Bourgault</t>
  </si>
  <si>
    <t>540 Bingemans Centre Drive, Unit 602</t>
  </si>
  <si>
    <t>Kitchener</t>
  </si>
  <si>
    <t>N2B 3X9</t>
  </si>
  <si>
    <t>benoit_bourgault@stswr.ca</t>
  </si>
  <si>
    <t>JV 01020</t>
  </si>
  <si>
    <t>Ottawa Student Transportation Authority</t>
  </si>
  <si>
    <t>Vicky</t>
  </si>
  <si>
    <t>Kyriaco</t>
  </si>
  <si>
    <t>1645 Woodroffe Ave.</t>
  </si>
  <si>
    <t>Nepean</t>
  </si>
  <si>
    <t>K2G 1W2</t>
  </si>
  <si>
    <t>vicky.kyriaco@ottawaschoolbus.ca</t>
  </si>
  <si>
    <t>JV 01021</t>
  </si>
  <si>
    <t>Huron Perth Student Transportation Services</t>
  </si>
  <si>
    <t>Janice</t>
  </si>
  <si>
    <t>White</t>
  </si>
  <si>
    <t>62 Chalk St. North</t>
  </si>
  <si>
    <t>Seaforth</t>
  </si>
  <si>
    <t>N0K 1W0</t>
  </si>
  <si>
    <t>janice.white@ed.amdsb.ca</t>
  </si>
  <si>
    <t>JV 01022</t>
  </si>
  <si>
    <t>Southwestern Ontario Student Transportation Services</t>
  </si>
  <si>
    <t>Maureen</t>
  </si>
  <si>
    <t>Heath</t>
  </si>
  <si>
    <t>1106-1112 Dearness Drive,Unit 6</t>
  </si>
  <si>
    <t>London</t>
  </si>
  <si>
    <t>N6E 1N9</t>
  </si>
  <si>
    <t>mheath@mybigyellowbus.ca</t>
  </si>
  <si>
    <t>JV 01023</t>
  </si>
  <si>
    <t>Northwestern Ontario Student Services Consortium</t>
  </si>
  <si>
    <t>Ridgway</t>
  </si>
  <si>
    <t>100 Casimir Avenue, Suite 114</t>
  </si>
  <si>
    <t>Dryden</t>
  </si>
  <si>
    <t>P8N 3L4</t>
  </si>
  <si>
    <t>dan.ridgway@nwobus.ca</t>
  </si>
  <si>
    <t>JV 01024</t>
  </si>
  <si>
    <t>North East Tri-Board Student Transportation</t>
  </si>
  <si>
    <t>Ryan</t>
  </si>
  <si>
    <t>Hartling</t>
  </si>
  <si>
    <t>Supervisor of Transportation Services</t>
  </si>
  <si>
    <t>PO Box 1020</t>
  </si>
  <si>
    <t>Timmins</t>
  </si>
  <si>
    <t>P4N 7H7</t>
  </si>
  <si>
    <t>Ryan.Hartling@dsb1.ca</t>
  </si>
  <si>
    <t>JV 01025</t>
  </si>
  <si>
    <t>Consortium de transport scolaire d'Ottawa</t>
  </si>
  <si>
    <t>Patrick</t>
  </si>
  <si>
    <t>Pharand</t>
  </si>
  <si>
    <t>Director</t>
  </si>
  <si>
    <t>700 Industrial Avenue, Suite 210</t>
  </si>
  <si>
    <t>Ottawa</t>
  </si>
  <si>
    <t>K1G 0Y9</t>
  </si>
  <si>
    <t>ppharand@ctso.ca</t>
  </si>
  <si>
    <t>JV 01026</t>
  </si>
  <si>
    <t>Consortium de transport scolaire de l'Est</t>
  </si>
  <si>
    <t>Paul</t>
  </si>
  <si>
    <t>Rouleau</t>
  </si>
  <si>
    <t>Chef de la direction</t>
  </si>
  <si>
    <t>C.P. 740, 665, rue Principale</t>
  </si>
  <si>
    <t>Casselman</t>
  </si>
  <si>
    <t>K0A 1M0</t>
  </si>
  <si>
    <t>p.rouleau@ctse.ca</t>
  </si>
  <si>
    <t>JV 01027</t>
  </si>
  <si>
    <t>Student Transportation Services of Brant Haldimand Norfolk</t>
  </si>
  <si>
    <t>Philip</t>
  </si>
  <si>
    <t>Kuckyt</t>
  </si>
  <si>
    <t>Manager of Transportation Services</t>
  </si>
  <si>
    <t>349 Erie Avenue</t>
  </si>
  <si>
    <t>Brantford</t>
  </si>
  <si>
    <t>N3T 5V3</t>
  </si>
  <si>
    <t>pkuckyt@stsbhn.ca</t>
  </si>
  <si>
    <t>JV 01028</t>
  </si>
  <si>
    <t>East of Thunder Bay Transportation Consortium</t>
  </si>
  <si>
    <t>Friedrich</t>
  </si>
  <si>
    <t>Transportation Coordinator</t>
  </si>
  <si>
    <t>PO Box 1300</t>
  </si>
  <si>
    <t>Marathon</t>
  </si>
  <si>
    <t>P0T 2E0</t>
  </si>
  <si>
    <t>AFriedrich@sgdsb.on.ca</t>
  </si>
  <si>
    <t>JV 01029</t>
  </si>
  <si>
    <t>Student Transportation Services of Thunder Bay</t>
  </si>
  <si>
    <t>Craig</t>
  </si>
  <si>
    <t>Murphy</t>
  </si>
  <si>
    <t>Consortium Manager</t>
  </si>
  <si>
    <t>Suite 2001, 715 Hewitson Street</t>
  </si>
  <si>
    <t>Thunder Bay</t>
  </si>
  <si>
    <t>P7B6B5</t>
  </si>
  <si>
    <t>cmurphy@tbcschools.ca</t>
  </si>
  <si>
    <t>JV 01030</t>
  </si>
  <si>
    <t>Algoma &amp; Huron Superior Transportation Services</t>
  </si>
  <si>
    <t>Fratesi</t>
  </si>
  <si>
    <t>241 Albert St. W.</t>
  </si>
  <si>
    <t>SAULT STE MARIE</t>
  </si>
  <si>
    <t>P6A 7B6</t>
  </si>
  <si>
    <t>fratess@adsb.on.ca</t>
  </si>
  <si>
    <t>JV 01031</t>
  </si>
  <si>
    <t>Hamilton-Wentworth Student Transportation Services</t>
  </si>
  <si>
    <t>Richard</t>
  </si>
  <si>
    <t>Koren</t>
  </si>
  <si>
    <t>Operations Supervisor</t>
  </si>
  <si>
    <t>2nd Fl, 785 Britannia Ave,</t>
  </si>
  <si>
    <t>HAMILTON</t>
  </si>
  <si>
    <t>L8H 2B6</t>
  </si>
  <si>
    <t>Rick.Koren@Hamiltonschoolbus.ca</t>
  </si>
  <si>
    <t>JV 01032</t>
  </si>
  <si>
    <t>CFORP (Centre franco-ontarien de ressources p‚dagogiques)</t>
  </si>
  <si>
    <t>Penny</t>
  </si>
  <si>
    <t>Bell</t>
  </si>
  <si>
    <t>Directrice, Finances et Ressources humaines</t>
  </si>
  <si>
    <t>435, rue Donald</t>
  </si>
  <si>
    <t>K1K 4X5</t>
  </si>
  <si>
    <t>penny.bell@cforp.ca</t>
  </si>
  <si>
    <t>JV 01033</t>
  </si>
  <si>
    <t>Renfrew County Joint Transportation Consortium</t>
  </si>
  <si>
    <t>Robert</t>
  </si>
  <si>
    <t>999 Cecelia Street</t>
  </si>
  <si>
    <t>Pembroke</t>
  </si>
  <si>
    <t>K8B 1A4</t>
  </si>
  <si>
    <t>whiteb@onthebus.ca</t>
  </si>
  <si>
    <t>JV 01034</t>
  </si>
  <si>
    <t>Toronto Student Transportation Group</t>
  </si>
  <si>
    <t>Kevin</t>
  </si>
  <si>
    <t>Hodgkinson</t>
  </si>
  <si>
    <t>2 Trethewey Dr, 2nd Floor Annex</t>
  </si>
  <si>
    <t>Toronto</t>
  </si>
  <si>
    <t>M6M 4A8</t>
  </si>
  <si>
    <t>kevin.hodgkinson@tcdsb.org</t>
  </si>
  <si>
    <t>JV 01035</t>
  </si>
  <si>
    <t>Student Transportation of Eastern Ontario (STEO)</t>
  </si>
  <si>
    <t>Janet</t>
  </si>
  <si>
    <t>Murray</t>
  </si>
  <si>
    <t>104 Commerce Drive</t>
  </si>
  <si>
    <t>Prescott</t>
  </si>
  <si>
    <t>K0E 1T0</t>
  </si>
  <si>
    <t>Janet.Murray@steo.ca</t>
  </si>
  <si>
    <t>JV 01036</t>
  </si>
  <si>
    <t>Saint Joseph / St. Joseph's - WAWA</t>
  </si>
  <si>
    <t>Cathy</t>
  </si>
  <si>
    <t>Modesto</t>
  </si>
  <si>
    <t>Surintendante des affaires et des finance</t>
  </si>
  <si>
    <t>201 Jogues Street</t>
  </si>
  <si>
    <t>P3C 5L7</t>
  </si>
  <si>
    <t>cathy.modesto@nouvelon.ca</t>
  </si>
  <si>
    <t>JV 01038</t>
  </si>
  <si>
    <t>Rainy River District Transportation Services Consortium</t>
  </si>
  <si>
    <t>Nikki</t>
  </si>
  <si>
    <t>522 Second Street East</t>
  </si>
  <si>
    <t>Fort Frances</t>
  </si>
  <si>
    <t>P9A 1N4</t>
  </si>
  <si>
    <t>nikki.armstrong@rrdsb.com</t>
  </si>
  <si>
    <t>JV 01039</t>
  </si>
  <si>
    <t>c/o Grand Erie DSB</t>
  </si>
  <si>
    <t>Rafal</t>
  </si>
  <si>
    <t>Wyszynski</t>
  </si>
  <si>
    <t>Superintendent of Business &amp; Treasuer</t>
  </si>
  <si>
    <t>349 Erie Street</t>
  </si>
  <si>
    <t>BRANTFORD</t>
  </si>
  <si>
    <t>rafal.wyszynski@granderie.ca</t>
  </si>
  <si>
    <t>JV 01040</t>
  </si>
  <si>
    <t>Student Transportation of Peel Region (STOPR)</t>
  </si>
  <si>
    <t>Wendy</t>
  </si>
  <si>
    <t>Dobson</t>
  </si>
  <si>
    <t>c/o DPCDSB, 40 Matheson Blvd. W</t>
  </si>
  <si>
    <t>Mississauga</t>
  </si>
  <si>
    <t>L5R 1C5</t>
  </si>
  <si>
    <t>wendy.dobson@peelsb.com</t>
  </si>
  <si>
    <t>JV 01041</t>
  </si>
  <si>
    <t>Centre d'excellence en approvisionnement FRANCOachat</t>
  </si>
  <si>
    <t>Julie</t>
  </si>
  <si>
    <t>Director, CEA FRANCOachat</t>
  </si>
  <si>
    <t>1 Vanier Drive, Suite 101</t>
  </si>
  <si>
    <t>L3B 1A1</t>
  </si>
  <si>
    <t>scottj@francoachat.ca</t>
  </si>
  <si>
    <t>JV 01042</t>
  </si>
  <si>
    <t>Consortium pour les eleves du nord de l'Ontario (CENO)</t>
  </si>
  <si>
    <t>Monique</t>
  </si>
  <si>
    <t>Dubreuil</t>
  </si>
  <si>
    <t>300 rue Van Horne</t>
  </si>
  <si>
    <t>P3B 1H9</t>
  </si>
  <si>
    <t>monique.dubreuil@cenord.ca</t>
  </si>
  <si>
    <t>SG 00201</t>
  </si>
  <si>
    <t>District School Board Ontario North East</t>
  </si>
  <si>
    <t>Pearl</t>
  </si>
  <si>
    <t>Fong-West</t>
  </si>
  <si>
    <t>Superintendent of Business/Finance and Treasurer</t>
  </si>
  <si>
    <t>153 Croatia Ave.</t>
  </si>
  <si>
    <t>Schumacher</t>
  </si>
  <si>
    <t>P0N 1G0</t>
  </si>
  <si>
    <t>Pearl.West@dsb1.ca</t>
  </si>
  <si>
    <t>SG 00202</t>
  </si>
  <si>
    <t>Algoma District School Board</t>
  </si>
  <si>
    <t>Joseph</t>
  </si>
  <si>
    <t>Santa Maria</t>
  </si>
  <si>
    <t>Superintendent of Business</t>
  </si>
  <si>
    <t>644 Albert Street East</t>
  </si>
  <si>
    <t>SAULT STE. MARIE</t>
  </si>
  <si>
    <t>P6A 2K7</t>
  </si>
  <si>
    <t>santamj@adsb.on.ca</t>
  </si>
  <si>
    <t>SG 00203</t>
  </si>
  <si>
    <t>Rainbow District School Board</t>
  </si>
  <si>
    <t>Dennis</t>
  </si>
  <si>
    <t>Bazinet</t>
  </si>
  <si>
    <t>SUDBURY</t>
  </si>
  <si>
    <t>bazined@rainbowschools.ca</t>
  </si>
  <si>
    <t>SG 00204</t>
  </si>
  <si>
    <t>Near North District School Board</t>
  </si>
  <si>
    <t>Liz</t>
  </si>
  <si>
    <t>Therrien</t>
  </si>
  <si>
    <t>Box 3110</t>
  </si>
  <si>
    <t>NORTH BAY</t>
  </si>
  <si>
    <t>P1C 1A5</t>
  </si>
  <si>
    <t>liz.therrien@nearnorthschools.ca</t>
  </si>
  <si>
    <t>SG 00205</t>
  </si>
  <si>
    <t>Keewatin-Patricia District School Board</t>
  </si>
  <si>
    <t>Findlay</t>
  </si>
  <si>
    <t>4th Floor - 240 Veterans Drive</t>
  </si>
  <si>
    <t>KENORA</t>
  </si>
  <si>
    <t>P9N 3Y5</t>
  </si>
  <si>
    <t>Richard.Findlay@kpdsb.ca</t>
  </si>
  <si>
    <t>SG 00206</t>
  </si>
  <si>
    <t>Rainy River District School Board</t>
  </si>
  <si>
    <t>Laura</t>
  </si>
  <si>
    <t>Mills</t>
  </si>
  <si>
    <t>FORT FRANCES</t>
  </si>
  <si>
    <t>P9N 1N4</t>
  </si>
  <si>
    <t>laura.mills@rrdsb.com</t>
  </si>
  <si>
    <t>SG 00207</t>
  </si>
  <si>
    <t>Lakehead District School Board</t>
  </si>
  <si>
    <t>David</t>
  </si>
  <si>
    <t>Wright</t>
  </si>
  <si>
    <t>2135 Sills Street</t>
  </si>
  <si>
    <t>THUNDER BAY</t>
  </si>
  <si>
    <t>P7E 5T2</t>
  </si>
  <si>
    <t>David_Wright@lakeheadschools.ca</t>
  </si>
  <si>
    <t>SG 00208</t>
  </si>
  <si>
    <t>Superior-Greenstone District School Board</t>
  </si>
  <si>
    <t>Tsubouchi</t>
  </si>
  <si>
    <t>P.O. Box 1209</t>
  </si>
  <si>
    <t>MARATHON</t>
  </si>
  <si>
    <t>ctsubouchi@sgdsb.on.ca</t>
  </si>
  <si>
    <t>SG 00209</t>
  </si>
  <si>
    <t>Bluewater District School Board</t>
  </si>
  <si>
    <t>Amanda</t>
  </si>
  <si>
    <t>Sims</t>
  </si>
  <si>
    <t>Executive Assistant to Superintendent of Business Services, Rob Cummings</t>
  </si>
  <si>
    <t>351 - First Avenue North</t>
  </si>
  <si>
    <t>CHESLEY</t>
  </si>
  <si>
    <t>N0G 1L0</t>
  </si>
  <si>
    <t>amanda_sims@bwdsb.on.ca</t>
  </si>
  <si>
    <t>SG 00210</t>
  </si>
  <si>
    <t>Avon Maitland District School Board</t>
  </si>
  <si>
    <t>Laurel</t>
  </si>
  <si>
    <t>Mitchell</t>
  </si>
  <si>
    <t>Facilities Officer</t>
  </si>
  <si>
    <t>62 Chalk Street</t>
  </si>
  <si>
    <t>SEAFORTH</t>
  </si>
  <si>
    <t>Laurel.Mitchell@ed.amdsb.ca</t>
  </si>
  <si>
    <t>SG 00211</t>
  </si>
  <si>
    <t>Greater Essex County District School Board</t>
  </si>
  <si>
    <t>Box 210, 451 Park St. W.</t>
  </si>
  <si>
    <t>WINDSOR</t>
  </si>
  <si>
    <t>SG 00212</t>
  </si>
  <si>
    <t>Lambton Kent District School Board</t>
  </si>
  <si>
    <t>Joyce</t>
  </si>
  <si>
    <t>Hastings</t>
  </si>
  <si>
    <t>Administrative Assistant</t>
  </si>
  <si>
    <t>P.O. Box 2019, Stn Main</t>
  </si>
  <si>
    <t>SARNIA</t>
  </si>
  <si>
    <t>N7T 7L2</t>
  </si>
  <si>
    <t>joyce.hastings@lkdsb.net</t>
  </si>
  <si>
    <t>SG 00213</t>
  </si>
  <si>
    <t>Thames Valley District School Board</t>
  </si>
  <si>
    <t>Angela</t>
  </si>
  <si>
    <t>Wilson</t>
  </si>
  <si>
    <t>Business Services Officer and Assistant to Supertendent of Business Cathy Lynd</t>
  </si>
  <si>
    <t>1250 Dundas St.</t>
  </si>
  <si>
    <t>LONDON</t>
  </si>
  <si>
    <t>N5W 5P2</t>
  </si>
  <si>
    <t>a.wilson@tvdsb.ca</t>
  </si>
  <si>
    <t>SG 00215</t>
  </si>
  <si>
    <t>Durham District School Board</t>
  </si>
  <si>
    <t>SG 00216</t>
  </si>
  <si>
    <t>Kawartha Pine Ridge District School Board</t>
  </si>
  <si>
    <t>Mark</t>
  </si>
  <si>
    <t>Allen</t>
  </si>
  <si>
    <t>Manager of Project, and Central Services</t>
  </si>
  <si>
    <t>1994 Fisher Drive</t>
  </si>
  <si>
    <t>PETERBOROUGH</t>
  </si>
  <si>
    <t>K9J 6X6</t>
  </si>
  <si>
    <t>mark_allen@kprdsb.ca</t>
  </si>
  <si>
    <t>SG 00217</t>
  </si>
  <si>
    <t>Trillium Lakelands District School Board</t>
  </si>
  <si>
    <t>Tim</t>
  </si>
  <si>
    <t>Ellis</t>
  </si>
  <si>
    <t>P.O. BOX 420, Cty Rd. 36</t>
  </si>
  <si>
    <t>LINDSAY</t>
  </si>
  <si>
    <t>K9V 4S4</t>
  </si>
  <si>
    <t>tim.ellis@tldsb.on.ca</t>
  </si>
  <si>
    <t>SG 00219</t>
  </si>
  <si>
    <t>Upper Grand District School Board</t>
  </si>
  <si>
    <t>Zorzi</t>
  </si>
  <si>
    <t>Executive Assistant - Operations</t>
  </si>
  <si>
    <t>500 Victoria Road North</t>
  </si>
  <si>
    <t>N1E 6K2</t>
  </si>
  <si>
    <t>karen.zorzi@ugdsb.on.ca</t>
  </si>
  <si>
    <t>SG 00220</t>
  </si>
  <si>
    <t>Peel District School Board</t>
  </si>
  <si>
    <t>Enzo</t>
  </si>
  <si>
    <t>Addesa</t>
  </si>
  <si>
    <t>Security &amp; Risk Administrator for Corporate Support Services</t>
  </si>
  <si>
    <t>5650 Hurontario Street</t>
  </si>
  <si>
    <t>MISSISSAUGA</t>
  </si>
  <si>
    <t>L5R 1C6</t>
  </si>
  <si>
    <t>enzo.addesa@peelsb.com</t>
  </si>
  <si>
    <t>SG 00221</t>
  </si>
  <si>
    <t>Hamilton Wentworth District School Board</t>
  </si>
  <si>
    <t>Sandra</t>
  </si>
  <si>
    <t>Clement</t>
  </si>
  <si>
    <t>Manager, Purchasing Services</t>
  </si>
  <si>
    <t>P.O. Box 2558</t>
  </si>
  <si>
    <t>L8N 3L1</t>
  </si>
  <si>
    <t>sclement@hwdsb.on.ca</t>
  </si>
  <si>
    <t>SG 00222</t>
  </si>
  <si>
    <t>District School Board of Niagara</t>
  </si>
  <si>
    <t>Kelly</t>
  </si>
  <si>
    <t>Martin</t>
  </si>
  <si>
    <t>Purchasing &amp; Central Services Supervisor</t>
  </si>
  <si>
    <t>191 Carlton Street</t>
  </si>
  <si>
    <t>ST. CATHARINES</t>
  </si>
  <si>
    <t>L2R 7P4</t>
  </si>
  <si>
    <t>kelly.martin@dsbn.org</t>
  </si>
  <si>
    <t>SG 00223</t>
  </si>
  <si>
    <t>Grand Erie District School Board</t>
  </si>
  <si>
    <t>Kathryn</t>
  </si>
  <si>
    <t>Underwood</t>
  </si>
  <si>
    <t>Executive Assistant, Superintendent of Business, Community Use of Schools Coordinator</t>
  </si>
  <si>
    <t>kathryn.underwood@granderie.ca</t>
  </si>
  <si>
    <t>SG 00224</t>
  </si>
  <si>
    <t>Waterloo Region District School Board</t>
  </si>
  <si>
    <t>Shannon</t>
  </si>
  <si>
    <t>Thompson</t>
  </si>
  <si>
    <t>Review Services Manager; Business &amp; Financial Services</t>
  </si>
  <si>
    <t>51 Ardelt Avenue</t>
  </si>
  <si>
    <t>KITCHENER</t>
  </si>
  <si>
    <t>N2C 2R5</t>
  </si>
  <si>
    <t>shannon_thompson@wrdsb.ca</t>
  </si>
  <si>
    <t>SG 00225</t>
  </si>
  <si>
    <t>Ottawa Carleton District School Board</t>
  </si>
  <si>
    <t>Lloyd</t>
  </si>
  <si>
    <t>Coordinator of Purchasing &amp; Logistics</t>
  </si>
  <si>
    <t>133 Greenbank Road</t>
  </si>
  <si>
    <t>NEPEAN</t>
  </si>
  <si>
    <t>K2H 6L3</t>
  </si>
  <si>
    <t>Sandra.lloyd@ocdsb.ca</t>
  </si>
  <si>
    <t>SG 00226</t>
  </si>
  <si>
    <t>Upper Canada District School Board</t>
  </si>
  <si>
    <t>Judi</t>
  </si>
  <si>
    <t>Kaiser</t>
  </si>
  <si>
    <t>Risk &amp; Community Outreach Coordinator</t>
  </si>
  <si>
    <t>225 Central Ave. W.</t>
  </si>
  <si>
    <t>BROCKVILLE</t>
  </si>
  <si>
    <t>K6V 5X1</t>
  </si>
  <si>
    <t>judi.kaiser@ucdsb.on.ca</t>
  </si>
  <si>
    <t>SG 00227</t>
  </si>
  <si>
    <t>Limestone District School Board</t>
  </si>
  <si>
    <t>Michael</t>
  </si>
  <si>
    <t>Jou</t>
  </si>
  <si>
    <t>Health and Safety Co-ordinator</t>
  </si>
  <si>
    <t>220 Portsmouth Avenue</t>
  </si>
  <si>
    <t>KINGSTON</t>
  </si>
  <si>
    <t>K7M 0G2</t>
  </si>
  <si>
    <t>joum@limestone.on.ca</t>
  </si>
  <si>
    <t>SG 00228</t>
  </si>
  <si>
    <t>Renfrew County District School Board</t>
  </si>
  <si>
    <t>Jennifer</t>
  </si>
  <si>
    <t>Barnes</t>
  </si>
  <si>
    <t>1270 Pembroke Street W.</t>
  </si>
  <si>
    <t>PEMBROKE</t>
  </si>
  <si>
    <t>K8A 4G4</t>
  </si>
  <si>
    <t>barnesjl@rcdsb.on.ca</t>
  </si>
  <si>
    <t>SG 00229</t>
  </si>
  <si>
    <t>Hastings &amp; Prince Edward District School Board</t>
  </si>
  <si>
    <t>Nick</t>
  </si>
  <si>
    <t>Pfeiffer</t>
  </si>
  <si>
    <t>Superintendent of Business Services</t>
  </si>
  <si>
    <t>156 Ann Street</t>
  </si>
  <si>
    <t>BELLEVILLE</t>
  </si>
  <si>
    <t>K8N 3L3</t>
  </si>
  <si>
    <t>npfeiffer@hpedsb.on.ca</t>
  </si>
  <si>
    <t>SG 00230</t>
  </si>
  <si>
    <t>Northeastern Catholic District School Board</t>
  </si>
  <si>
    <t>Keld</t>
  </si>
  <si>
    <t>383 Birch St. N.</t>
  </si>
  <si>
    <t>TIMMINS</t>
  </si>
  <si>
    <t>P4N 6E8</t>
  </si>
  <si>
    <t>kelscott@ncdsb.on.ca</t>
  </si>
  <si>
    <t>SG 00231</t>
  </si>
  <si>
    <t>Nipissing Parry Sound Catholic District School Board</t>
  </si>
  <si>
    <t>Grace</t>
  </si>
  <si>
    <t>Barnhardt</t>
  </si>
  <si>
    <t>1000 High Street</t>
  </si>
  <si>
    <t>P1B 6S6</t>
  </si>
  <si>
    <t>barnharg@npsc.ca</t>
  </si>
  <si>
    <t>SG 00232</t>
  </si>
  <si>
    <t>Huron Superior Catholic District School Board</t>
  </si>
  <si>
    <t>Sandy</t>
  </si>
  <si>
    <t>Caswell</t>
  </si>
  <si>
    <t>90 Ontario Street</t>
  </si>
  <si>
    <t>P6B 6G7</t>
  </si>
  <si>
    <t>sandy.caswell@hscdsb.on.ca</t>
  </si>
  <si>
    <t>SG 00233</t>
  </si>
  <si>
    <t>Northwest Catholic District School Board</t>
  </si>
  <si>
    <t>Seija</t>
  </si>
  <si>
    <t>Van Haesendonck</t>
  </si>
  <si>
    <t>75 Van Horne Ave., Suite B</t>
  </si>
  <si>
    <t>DRYDEN</t>
  </si>
  <si>
    <t>P8N 2B2</t>
  </si>
  <si>
    <t>svanhaesendonck@tncdsb.on.ca</t>
  </si>
  <si>
    <t>SG 00234</t>
  </si>
  <si>
    <t>Kenora Catholic District School Board</t>
  </si>
  <si>
    <t>Satyanarayana</t>
  </si>
  <si>
    <t>Gurram</t>
  </si>
  <si>
    <t>Manager of Operations</t>
  </si>
  <si>
    <t>1292 Heenan Place</t>
  </si>
  <si>
    <t>P9N 2Y8</t>
  </si>
  <si>
    <t>sgurram@kcdsb.on.ca</t>
  </si>
  <si>
    <t>SG 00235</t>
  </si>
  <si>
    <t>Superior North Catholic District School Board</t>
  </si>
  <si>
    <t>George</t>
  </si>
  <si>
    <t>Supervising Manager of Finance</t>
  </si>
  <si>
    <t>13 Simcoe Plaza,_x000D_
P.O. Box 610</t>
  </si>
  <si>
    <t>TERRACE BAY</t>
  </si>
  <si>
    <t>P0T 2W0</t>
  </si>
  <si>
    <t>gscott@sncdsb.on.ca</t>
  </si>
  <si>
    <t>SG 00236</t>
  </si>
  <si>
    <t>Thunder Bay Catholic District School Board</t>
  </si>
  <si>
    <t>Diana</t>
  </si>
  <si>
    <t>Castellan</t>
  </si>
  <si>
    <t>Executive Assistant (Business &amp; Corporate Services)</t>
  </si>
  <si>
    <t>459 Victoria Ave. West</t>
  </si>
  <si>
    <t>P7C 0A4</t>
  </si>
  <si>
    <t>dcastellan@tbcschools.ca</t>
  </si>
  <si>
    <t>SG 00237</t>
  </si>
  <si>
    <t>Bruce Grey Catholic  District School Board</t>
  </si>
  <si>
    <t>Alecia</t>
  </si>
  <si>
    <t>Lantz</t>
  </si>
  <si>
    <t>799 16th Avenue</t>
  </si>
  <si>
    <t>HANOVER</t>
  </si>
  <si>
    <t>alecia_lantz@bgcdsb.org</t>
  </si>
  <si>
    <t>SG 00238</t>
  </si>
  <si>
    <t>Windsor-Essex Catholic District School Board</t>
  </si>
  <si>
    <t>Colleen</t>
  </si>
  <si>
    <t>Norris</t>
  </si>
  <si>
    <t>Manager of Human Resources and Policy Development</t>
  </si>
  <si>
    <t>1325 California Avenue</t>
  </si>
  <si>
    <t>N9B 3Y6</t>
  </si>
  <si>
    <t>colleen_norris@wecdsb.on.ca</t>
  </si>
  <si>
    <t>SG 00239</t>
  </si>
  <si>
    <t>London District Catholic School Board</t>
  </si>
  <si>
    <t>Debbie</t>
  </si>
  <si>
    <t>Jordan</t>
  </si>
  <si>
    <t>Superintendent of Business and Treasurer</t>
  </si>
  <si>
    <t>5200 Wellington Road South</t>
  </si>
  <si>
    <t>N6A 4X5</t>
  </si>
  <si>
    <t>dajordan@ldcsb.ca</t>
  </si>
  <si>
    <t>SG 00240</t>
  </si>
  <si>
    <t>St. Clair Catholic District School Board</t>
  </si>
  <si>
    <t>Amy</t>
  </si>
  <si>
    <t>Janssens</t>
  </si>
  <si>
    <t>Assiciate Director- Corporate Services</t>
  </si>
  <si>
    <t>amy.janssens@st-clair.net</t>
  </si>
  <si>
    <t>SG 00241</t>
  </si>
  <si>
    <t>Toronto Catholic District School Board</t>
  </si>
  <si>
    <t>Gardiner</t>
  </si>
  <si>
    <t>Business Assistant</t>
  </si>
  <si>
    <t>80 Sheppard Ave., E.</t>
  </si>
  <si>
    <t>M2N 6E8</t>
  </si>
  <si>
    <t>john.gardiner@tcdsb.org</t>
  </si>
  <si>
    <t>SG 00242</t>
  </si>
  <si>
    <t>Peterborough Victoria Northumberland &amp; Clarington Catholic District School Board</t>
  </si>
  <si>
    <t>Isabel</t>
  </si>
  <si>
    <t>1355 Lansdowne St., W.</t>
  </si>
  <si>
    <t>K9J 7M3</t>
  </si>
  <si>
    <t>igrace@pvnccdsb.on.ca</t>
  </si>
  <si>
    <t>SG 00243</t>
  </si>
  <si>
    <t>York Catholic District School Board</t>
  </si>
  <si>
    <t>Cindy</t>
  </si>
  <si>
    <t>Smith</t>
  </si>
  <si>
    <t>Budget/Insurance Coordinator</t>
  </si>
  <si>
    <t>320 Bloomington Road West</t>
  </si>
  <si>
    <t>AURORA</t>
  </si>
  <si>
    <t>L4G 0M1</t>
  </si>
  <si>
    <t>cindy.smith@ycdsb.ca</t>
  </si>
  <si>
    <t>SG 00244</t>
  </si>
  <si>
    <t>Dufferin-Peel Catholic District School Board</t>
  </si>
  <si>
    <t>Susan</t>
  </si>
  <si>
    <t>Domenichini</t>
  </si>
  <si>
    <t>Risk Management &amp; Insurance Officer</t>
  </si>
  <si>
    <t>40 Matheson Blvd. W.</t>
  </si>
  <si>
    <t>Susan.Domenichini@dpcdsb.org</t>
  </si>
  <si>
    <t>SG 00245</t>
  </si>
  <si>
    <t>Simcoe Muskoka Catholic District School Board</t>
  </si>
  <si>
    <t>Suzanne</t>
  </si>
  <si>
    <t>Olimer</t>
  </si>
  <si>
    <t>Superintendent of Business &amp; Finance</t>
  </si>
  <si>
    <t>46 Alliance Boulevard</t>
  </si>
  <si>
    <t>BARRIE</t>
  </si>
  <si>
    <t>L4M 5K3</t>
  </si>
  <si>
    <t>solimer@smcdsb.on.ca</t>
  </si>
  <si>
    <t>SG 00246</t>
  </si>
  <si>
    <t>Durham Catholic District School Board</t>
  </si>
  <si>
    <t>Trish</t>
  </si>
  <si>
    <t>Cashman</t>
  </si>
  <si>
    <t>Senior Administrative Assistant to Scott Grieve, Superintendent of Facilities Service</t>
  </si>
  <si>
    <t>650 Rossland Road W.</t>
  </si>
  <si>
    <t>OSHAWA</t>
  </si>
  <si>
    <t>trish.cashman@dcdsb.ca</t>
  </si>
  <si>
    <t>SG 00247</t>
  </si>
  <si>
    <t>Halton Catholic District School Board</t>
  </si>
  <si>
    <t>Jones</t>
  </si>
  <si>
    <t>802 Drury Lane</t>
  </si>
  <si>
    <t>L7R 2Y2</t>
  </si>
  <si>
    <t>jonesk@hcdsb.org</t>
  </si>
  <si>
    <t>SG 00248</t>
  </si>
  <si>
    <t>Wellington Catholic District School Board</t>
  </si>
  <si>
    <t>Lynn</t>
  </si>
  <si>
    <t>Meihm</t>
  </si>
  <si>
    <t>Procurer of Business</t>
  </si>
  <si>
    <t>Box 1298, 75 Woolwich St.</t>
  </si>
  <si>
    <t>N1H 6N6</t>
  </si>
  <si>
    <t>lynn.meihm@wellingtoncdsb.ca</t>
  </si>
  <si>
    <t>SG 00249</t>
  </si>
  <si>
    <t>Waterloo Catholic District School Board</t>
  </si>
  <si>
    <t>Shesh</t>
  </si>
  <si>
    <t>Maharaj</t>
  </si>
  <si>
    <t>Executive Superintendent - Corporate Services</t>
  </si>
  <si>
    <t>35 Weber St. W., Unit A,</t>
  </si>
  <si>
    <t>N2G 4G2</t>
  </si>
  <si>
    <t>Shesh.maharaj@wcdsb.ca</t>
  </si>
  <si>
    <t>SG 00250</t>
  </si>
  <si>
    <t>Niagara Catholic District School Board</t>
  </si>
  <si>
    <t>Giancarlo</t>
  </si>
  <si>
    <t>Vetrone</t>
  </si>
  <si>
    <t>Superintendent of Business &amp; Financial Services</t>
  </si>
  <si>
    <t>427 Rice Road</t>
  </si>
  <si>
    <t>WELLAND</t>
  </si>
  <si>
    <t>L3C 7C1</t>
  </si>
  <si>
    <t>giancarlo.vetrone@ncdsb.com</t>
  </si>
  <si>
    <t>SG 00251</t>
  </si>
  <si>
    <t>Brant Haldimand Norfolk Catholic District School Board</t>
  </si>
  <si>
    <t>Linda</t>
  </si>
  <si>
    <t>Luciani</t>
  </si>
  <si>
    <t>Executive Assistant, Corporate Services</t>
  </si>
  <si>
    <t>P.O. Box 217322</t>
  </si>
  <si>
    <t>N3T 5M8</t>
  </si>
  <si>
    <t>lluciani@bhncdsb.ca</t>
  </si>
  <si>
    <t>SG 00252</t>
  </si>
  <si>
    <t>Catholic District School Board of Eastern Ontario</t>
  </si>
  <si>
    <t>Bonnie</t>
  </si>
  <si>
    <t>Norton</t>
  </si>
  <si>
    <t>Associate Director of Education</t>
  </si>
  <si>
    <t>Box 2222, 2755 Highway 43</t>
  </si>
  <si>
    <t>KEMPTVILLE</t>
  </si>
  <si>
    <t>K0G 1J0</t>
  </si>
  <si>
    <t>bonnie.norton@cdsbeo.on.ca</t>
  </si>
  <si>
    <t>SG 00253</t>
  </si>
  <si>
    <t>Ottawa Catholic School Board</t>
  </si>
  <si>
    <t>Latreille</t>
  </si>
  <si>
    <t>Manager of Purchasing and Administrative Services</t>
  </si>
  <si>
    <t>570 West Hunt Club Road</t>
  </si>
  <si>
    <t>K2G 3R4</t>
  </si>
  <si>
    <t>Karen.Latreille@ocsb.ca</t>
  </si>
  <si>
    <t>SG 00254</t>
  </si>
  <si>
    <t>Algonquin &amp; Lakeshore Catholic District School Board</t>
  </si>
  <si>
    <t>Breanne Bradshaw</t>
  </si>
  <si>
    <t>DeSantis</t>
  </si>
  <si>
    <t>Superintendent of Finance and Business Services</t>
  </si>
  <si>
    <t>151 Dairy Avenue</t>
  </si>
  <si>
    <t>K7R 4B2</t>
  </si>
  <si>
    <t>bbradshaw@alcdsb.on.ca</t>
  </si>
  <si>
    <t>SG 00255</t>
  </si>
  <si>
    <t>Conseil scolaire Viamonde</t>
  </si>
  <si>
    <t>Lacasse</t>
  </si>
  <si>
    <t>Administrative Assistant to the Superintendent of Business</t>
  </si>
  <si>
    <t>1 Vanier Dr., Suite 101</t>
  </si>
  <si>
    <t>lacasses@CSViamonde.ca</t>
  </si>
  <si>
    <t>SG 00256</t>
  </si>
  <si>
    <t>CDEP de l'Est de l'Ontario</t>
  </si>
  <si>
    <t>Natale</t>
  </si>
  <si>
    <t>Administrative Assistant, Office of the Superintendent of Business</t>
  </si>
  <si>
    <t>2445 Boulevard St. Laurent</t>
  </si>
  <si>
    <t>OTTAWA</t>
  </si>
  <si>
    <t>K1G 6C3</t>
  </si>
  <si>
    <t>osbie@cepeo.on.ca</t>
  </si>
  <si>
    <t>SG 00257</t>
  </si>
  <si>
    <t>CSDC de l'Est ontarien</t>
  </si>
  <si>
    <t>Chantale</t>
  </si>
  <si>
    <t>Lalonde</t>
  </si>
  <si>
    <t>Adjointe Administrative</t>
  </si>
  <si>
    <t>875 County Road 17</t>
  </si>
  <si>
    <t>L'ORIGNAL</t>
  </si>
  <si>
    <t>K0B 1K0</t>
  </si>
  <si>
    <t>chantale.lalonde@csdceo.org</t>
  </si>
  <si>
    <t>SG 00258</t>
  </si>
  <si>
    <t>Conseil scolaire de district catholique du Centre-Est de l'Ontario</t>
  </si>
  <si>
    <t>Luc</t>
  </si>
  <si>
    <t>Poulin</t>
  </si>
  <si>
    <t>Directeur des immobilisations</t>
  </si>
  <si>
    <t>4000 rue Labelle</t>
  </si>
  <si>
    <t>GLOUCESTER</t>
  </si>
  <si>
    <t>K1J 1A1</t>
  </si>
  <si>
    <t>poulil@ecolecatholique.ca</t>
  </si>
  <si>
    <t>SG 00277</t>
  </si>
  <si>
    <t>Moosonee District School Area Board</t>
  </si>
  <si>
    <t>Victoria</t>
  </si>
  <si>
    <t>Hillier-Hutchinson</t>
  </si>
  <si>
    <t>Human Resources and Finance Administrator</t>
  </si>
  <si>
    <t>P.O. Box 250</t>
  </si>
  <si>
    <t>MOOSONEE</t>
  </si>
  <si>
    <t>P0L 1Y0</t>
  </si>
  <si>
    <t>victoria.hillier@jblssb.ca</t>
  </si>
  <si>
    <t>SG 00282</t>
  </si>
  <si>
    <t>Protestant Separate School Board of the Town of Penetanguishene</t>
  </si>
  <si>
    <t>Sean</t>
  </si>
  <si>
    <t>Turner</t>
  </si>
  <si>
    <t>Manager of Finance &amp; Treasurer</t>
  </si>
  <si>
    <t>2 Poyntz Street,_x000D_
P.O. Box 107</t>
  </si>
  <si>
    <t>PENETANGUISHENE</t>
  </si>
  <si>
    <t>L9M 1M2</t>
  </si>
  <si>
    <t>sturner@pssbp.ca</t>
  </si>
  <si>
    <t>SG 00287</t>
  </si>
  <si>
    <t>Campbell Children's School Authority</t>
  </si>
  <si>
    <t>Maria</t>
  </si>
  <si>
    <t>DiPalo</t>
  </si>
  <si>
    <t>Business Administrator</t>
  </si>
  <si>
    <t>600 Townline Road South</t>
  </si>
  <si>
    <t>L1H 7K6</t>
  </si>
  <si>
    <t>maria.dipalo@grandviewkids.ca</t>
  </si>
  <si>
    <t>SG 00288</t>
  </si>
  <si>
    <t>CSDC Franco-Nord</t>
  </si>
  <si>
    <t>Marc</t>
  </si>
  <si>
    <t>Cantin</t>
  </si>
  <si>
    <t>Surintendant des affaires</t>
  </si>
  <si>
    <t>681-C rue Chippewa Ouest</t>
  </si>
  <si>
    <t>P1B 6G8</t>
  </si>
  <si>
    <t>cantinm@franco-nord.ca</t>
  </si>
  <si>
    <t>SG 00289</t>
  </si>
  <si>
    <t>Conseil scolaire catholique Providence</t>
  </si>
  <si>
    <t>Joanne</t>
  </si>
  <si>
    <t>Godin</t>
  </si>
  <si>
    <t>Adjointe administrative surintendance secteur des affaires</t>
  </si>
  <si>
    <t>7515, promenade Forest Glade</t>
  </si>
  <si>
    <t>N8T 3P5</t>
  </si>
  <si>
    <t>GodiJoan@cscprovidence.ca</t>
  </si>
  <si>
    <t>SG 00290</t>
  </si>
  <si>
    <t>Conseil scolaire catholique de district des Grandes Rivieres</t>
  </si>
  <si>
    <t>Mario</t>
  </si>
  <si>
    <t>Filion</t>
  </si>
  <si>
    <t>GÃ©rant des services financiers/Manager of Financial Services</t>
  </si>
  <si>
    <t>896 Riverside Dr.</t>
  </si>
  <si>
    <t>P4N3W2</t>
  </si>
  <si>
    <t>mario.filion@cscdgr.education</t>
  </si>
  <si>
    <t>SG 00291</t>
  </si>
  <si>
    <t>CSD des Aurores-Bor‚ales</t>
  </si>
  <si>
    <t>Jolanta</t>
  </si>
  <si>
    <t>Hausner</t>
  </si>
  <si>
    <t>Chef de finance</t>
  </si>
  <si>
    <t>175 rue High Nord</t>
  </si>
  <si>
    <t>P7A 8C7</t>
  </si>
  <si>
    <t>jhausner@csdcab.on.ca</t>
  </si>
  <si>
    <t>SG 00292</t>
  </si>
  <si>
    <t>CSD du Grand Nord de l'Ontario</t>
  </si>
  <si>
    <t>Alain</t>
  </si>
  <si>
    <t>Gelinas</t>
  </si>
  <si>
    <t>296 VanHorn Street</t>
  </si>
  <si>
    <t>alain.gelinas@cspgno.ca</t>
  </si>
  <si>
    <t>SG 00293</t>
  </si>
  <si>
    <t>CSDC centre-sud</t>
  </si>
  <si>
    <t>Albert M.</t>
  </si>
  <si>
    <t>Aazouz</t>
  </si>
  <si>
    <t>Director of Plant &amp; Planning</t>
  </si>
  <si>
    <t>110 Drewry Ave.</t>
  </si>
  <si>
    <t>TORONTO</t>
  </si>
  <si>
    <t>M2M 1C8</t>
  </si>
  <si>
    <t>aaazouz@cscmonavenir.ca</t>
  </si>
  <si>
    <t>SG 00294</t>
  </si>
  <si>
    <t>CSP du Nord-Est de l'Ontario</t>
  </si>
  <si>
    <t>Chantal</t>
  </si>
  <si>
    <t>Laforest</t>
  </si>
  <si>
    <t>Agente de vÃšrification et soutien administratif Coordonnatrice des services de liaiso</t>
  </si>
  <si>
    <t>CP 3600, 820 promenade Lakeshore</t>
  </si>
  <si>
    <t>P1B 9T5</t>
  </si>
  <si>
    <t>chantal.laforest@cspne.ca</t>
  </si>
  <si>
    <t>SG 00295</t>
  </si>
  <si>
    <t>Conseil scolaire catholique Nouvelon</t>
  </si>
  <si>
    <t>201 rue Jogues</t>
  </si>
  <si>
    <t>SG 00296</t>
  </si>
  <si>
    <t>Kids Ability School Authority</t>
  </si>
  <si>
    <t>Cotter</t>
  </si>
  <si>
    <t>Treasurer</t>
  </si>
  <si>
    <t>500 Hallmark Drive</t>
  </si>
  <si>
    <t>WATERLOO</t>
  </si>
  <si>
    <t>N2K 3P5</t>
  </si>
  <si>
    <t>jcotter@kidsability.ca</t>
  </si>
  <si>
    <t>SG 00297</t>
  </si>
  <si>
    <t>Bloorview School Authority</t>
  </si>
  <si>
    <t>Terry</t>
  </si>
  <si>
    <t>Jakobsmeier</t>
  </si>
  <si>
    <t>Business Manager</t>
  </si>
  <si>
    <t>150 Kilgour Road</t>
  </si>
  <si>
    <t>M4G 1R8</t>
  </si>
  <si>
    <t>tjakobsmeier@hollandbloorview.ca</t>
  </si>
  <si>
    <t>SG 00298</t>
  </si>
  <si>
    <t>James Bay Lowlands Secondary School Board</t>
  </si>
  <si>
    <t>Box 157</t>
  </si>
  <si>
    <t>SG 00299</t>
  </si>
  <si>
    <t>Moose Factory Island District School Board</t>
  </si>
  <si>
    <t>Kathy</t>
  </si>
  <si>
    <t>Cheechoo</t>
  </si>
  <si>
    <t>Business Administrator &amp; Treasurer</t>
  </si>
  <si>
    <t>PO Box 160</t>
  </si>
  <si>
    <t>MOOSE FACTORY</t>
  </si>
  <si>
    <t>P0L 1W0</t>
  </si>
  <si>
    <t>Kathy.Cheechoo@mfidsab.ca</t>
  </si>
  <si>
    <t>SG 00301</t>
  </si>
  <si>
    <t>Halton District School Board</t>
  </si>
  <si>
    <t>Dave</t>
  </si>
  <si>
    <t>Bennett</t>
  </si>
  <si>
    <t>2050 Guelph Line, PO Box 5005</t>
  </si>
  <si>
    <t>L7R 3Z2</t>
  </si>
  <si>
    <t>bennettdav@hdsb.ca</t>
  </si>
  <si>
    <t>SG 00302</t>
  </si>
  <si>
    <t>Huron-Perth Catholic District School Board</t>
  </si>
  <si>
    <t>Mary-Ellen</t>
  </si>
  <si>
    <t>Ducharme</t>
  </si>
  <si>
    <t>3927 Perth Road 180</t>
  </si>
  <si>
    <t>DUBLIN</t>
  </si>
  <si>
    <t>N0K 1E0</t>
  </si>
  <si>
    <t>mducharme@hpcdsb.ca</t>
  </si>
  <si>
    <t>SG 00303</t>
  </si>
  <si>
    <t>Renfrew County Catholic District School Board</t>
  </si>
  <si>
    <t>Mary Lynn</t>
  </si>
  <si>
    <t>Schauer</t>
  </si>
  <si>
    <t>499 Pembroke Street West</t>
  </si>
  <si>
    <t>K8A 5P1</t>
  </si>
  <si>
    <t>mschauer@rccdsb.edu.on.ca</t>
  </si>
  <si>
    <t>SG 00305</t>
  </si>
  <si>
    <t>John McGivney Children's Centre School Authority</t>
  </si>
  <si>
    <t>Brenda</t>
  </si>
  <si>
    <t>Roberts-Santarossa</t>
  </si>
  <si>
    <t>Principal</t>
  </si>
  <si>
    <t>3945 Matchette Rd.</t>
  </si>
  <si>
    <t>N9C 4C2</t>
  </si>
  <si>
    <t>brenda.santarossa@jmccsa.com</t>
  </si>
  <si>
    <t>SG 00306</t>
  </si>
  <si>
    <t>Sudbury Catholic District School Board</t>
  </si>
  <si>
    <t>Anderson</t>
  </si>
  <si>
    <t>Manager of Financial Services</t>
  </si>
  <si>
    <t>165 A D'Youville St.</t>
  </si>
  <si>
    <t>P3C 5E7</t>
  </si>
  <si>
    <t>susan.anderson@sudburycatholicschools.ca</t>
  </si>
  <si>
    <t>SG 00307</t>
  </si>
  <si>
    <t>Hamilton Wentworth Catholic District School Board</t>
  </si>
  <si>
    <t>Paola</t>
  </si>
  <si>
    <t>Pace-Gubekjian</t>
  </si>
  <si>
    <t>Superintendent of Finance &amp; Treasurer</t>
  </si>
  <si>
    <t>90 Mulberry St.</t>
  </si>
  <si>
    <t>Hamilton</t>
  </si>
  <si>
    <t>L8N 3R9</t>
  </si>
  <si>
    <t>pacep@hwcdsb.ca</t>
  </si>
  <si>
    <t>SG 00308</t>
  </si>
  <si>
    <t>Consortium Centre Jules-Leger</t>
  </si>
  <si>
    <t>Lacombe</t>
  </si>
  <si>
    <t>Presidente, CECCE</t>
  </si>
  <si>
    <t>281 Lanark Ave.</t>
  </si>
  <si>
    <t>K1Z 6R8</t>
  </si>
  <si>
    <t>lacombej@ecolecatholique.ca</t>
  </si>
  <si>
    <t>SG 00309</t>
  </si>
  <si>
    <t>York Region District School Board</t>
  </si>
  <si>
    <t>Jeff</t>
  </si>
  <si>
    <t>Fair</t>
  </si>
  <si>
    <t>Senior Manager Legal, Legislative and Administrative Services</t>
  </si>
  <si>
    <t>60 Wellington St W</t>
  </si>
  <si>
    <t>L4G 3H2</t>
  </si>
  <si>
    <t>jeff.fair@yrdsb.ca</t>
  </si>
  <si>
    <t>Total Premium</t>
  </si>
  <si>
    <t>OSBIE - Empty</t>
  </si>
  <si>
    <t>New DI RA Vault</t>
  </si>
  <si>
    <t>AP Cheque Test</t>
  </si>
  <si>
    <t>ZZZ</t>
  </si>
  <si>
    <t>Compliance Kit Test</t>
  </si>
  <si>
    <t>Brantford Honda</t>
  </si>
  <si>
    <t>Sample Vault</t>
  </si>
  <si>
    <t>AP Demo</t>
  </si>
  <si>
    <t>M-Files Project Documents - Demo Vault</t>
  </si>
  <si>
    <t>Budds BMW Oakville</t>
  </si>
  <si>
    <t>Jones Feed Mills - Clean</t>
  </si>
  <si>
    <t>old AP Demonstration Vault</t>
  </si>
  <si>
    <t>Martin's</t>
  </si>
  <si>
    <t>Storage Vault</t>
  </si>
  <si>
    <t>Human Systems - Clean</t>
  </si>
  <si>
    <t>Stecho Electric Ltd</t>
  </si>
  <si>
    <t>Old - Hutton Forest Products</t>
  </si>
  <si>
    <t>xHutton Forest Products</t>
  </si>
  <si>
    <t>M-Files Accounts Payable Demo</t>
  </si>
  <si>
    <t>Cambridge Elevating Inc - Sage</t>
  </si>
  <si>
    <t>AP Vault SD</t>
  </si>
  <si>
    <t>Black Creek Livestock - Clean</t>
  </si>
  <si>
    <t>Reporting</t>
  </si>
  <si>
    <t>Elmira Pet Products Ltd - Clean</t>
  </si>
  <si>
    <t>CRM Test</t>
  </si>
  <si>
    <t>Cambridge Elevating Inc</t>
  </si>
  <si>
    <t>OLD AP Demonstration Vault</t>
  </si>
  <si>
    <t>Jones Feed Mills</t>
  </si>
  <si>
    <t>AP Demonstration - Subtotal with Project</t>
  </si>
  <si>
    <t>Human Systems</t>
  </si>
  <si>
    <t>Empty AP Vault</t>
  </si>
  <si>
    <t>Gold Master</t>
  </si>
  <si>
    <t>Old - CRM Test</t>
  </si>
  <si>
    <t>Nicole Matthews</t>
  </si>
  <si>
    <t>AP Demonstration - Subtotal</t>
  </si>
  <si>
    <t>Primemax Energy Inc</t>
  </si>
  <si>
    <t>AP Vault MD</t>
  </si>
  <si>
    <t>New AP Demonstration Vault</t>
  </si>
  <si>
    <t>StorageVault Demo</t>
  </si>
  <si>
    <t>M-Files as Platform</t>
  </si>
  <si>
    <t>RA Vault</t>
  </si>
  <si>
    <t>EPP - From Jeff</t>
  </si>
  <si>
    <t>Project Vault</t>
  </si>
  <si>
    <t>Electronic Craftsmen</t>
  </si>
  <si>
    <t>SPEC Construction Inc</t>
  </si>
  <si>
    <t>Dev AP Demo</t>
  </si>
  <si>
    <t>Hutton Forest Products</t>
  </si>
  <si>
    <t>AP Demonstration - Subtotal - Clean</t>
  </si>
  <si>
    <t>Compliance Vault</t>
  </si>
  <si>
    <t>AP Demonstration - Subtotal with Projectx</t>
  </si>
  <si>
    <t>DI RA Vault</t>
  </si>
  <si>
    <t>ABC</t>
  </si>
  <si>
    <t>Workflow Name</t>
  </si>
  <si>
    <t>Classes Allowed</t>
  </si>
  <si>
    <t>Workflow State</t>
  </si>
  <si>
    <t>Assign to User(s)</t>
  </si>
  <si>
    <t>Assign to User Group(s)</t>
  </si>
  <si>
    <t xml:space="preserve">Assignment Monitored By User(s) </t>
  </si>
  <si>
    <t>Assignment Monitored By UserGroup(s)</t>
  </si>
  <si>
    <t>State Code</t>
  </si>
  <si>
    <t>State Transition Name</t>
  </si>
  <si>
    <t xml:space="preserve">Transition To </t>
  </si>
  <si>
    <t>Transition To Criteria: Filter String</t>
  </si>
  <si>
    <t>A/P Workflow</t>
  </si>
  <si>
    <t>Set Vendor</t>
  </si>
  <si>
    <t>WATERLOONETWORK\gsprout</t>
  </si>
  <si>
    <t>Example User Group</t>
  </si>
  <si>
    <t>Review</t>
  </si>
  <si>
    <t>Allocate</t>
  </si>
  <si>
    <t>Account Approval</t>
  </si>
  <si>
    <t>Post</t>
  </si>
  <si>
    <t>Exec Approval</t>
  </si>
  <si>
    <t>Issue</t>
  </si>
  <si>
    <t xml:space="preserve">Exec Approval </t>
  </si>
  <si>
    <t>Payment</t>
  </si>
  <si>
    <t>Rejected</t>
  </si>
  <si>
    <t xml:space="preserve">Payment </t>
  </si>
  <si>
    <t>Archive</t>
  </si>
  <si>
    <t>Cheque</t>
  </si>
  <si>
    <t>END</t>
  </si>
  <si>
    <t xml:space="preserve">Cheque </t>
  </si>
  <si>
    <t>hdbhwe</t>
  </si>
  <si>
    <t>Show In Creation Pane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</si>
</sst>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[$-409]mmmm\ d\,\ yyyy;@"/>
    <numFmt numFmtId="166" formatCode="[&lt;=9999999]###\-####;\(###\)\ ###\-####"/>
    <numFmt numFmtId="167" formatCode="&quot;$&quot;#,##0.00"/>
    <numFmt numFmtId="168" formatCode="dd\ mmmm\ yyyy"/>
    <numFmt numFmtId="169" formatCode="d\ mmmm\ yyyy"/>
    <numFmt numFmtId="170" formatCode="General;;"/>
    <numFmt numFmtId="171" formatCode="#,##0.00;;"/>
    <numFmt numFmtId="172" formatCode="&quot;$&quot;#,##0.00;;\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 tint="0.24994659260841701"/>
      <name val="Calibri"/>
      <family val="2"/>
      <scheme val="minor"/>
    </font>
    <font>
      <sz val="28"/>
      <color theme="1" tint="0.499984740745262"/>
      <name val="Calibri Light"/>
      <family val="2"/>
      <scheme val="major"/>
    </font>
    <font>
      <sz val="11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20"/>
      <name val="Calibri Light"/>
      <family val="2"/>
      <scheme val="major"/>
    </font>
    <font>
      <sz val="20"/>
      <color theme="4" tint="-0.24994659260841701"/>
      <name val="Calibri Light"/>
      <family val="1"/>
      <scheme val="major"/>
    </font>
    <font>
      <sz val="11"/>
      <color theme="3"/>
      <name val="Calibri"/>
      <family val="2"/>
      <scheme val="minor"/>
    </font>
    <font>
      <sz val="22"/>
      <color theme="4" tint="-0.24994659260841701"/>
      <name val="Calibri"/>
      <family val="2"/>
      <scheme val="minor"/>
    </font>
    <font>
      <sz val="11"/>
      <color theme="4" tint="-0.24994659260841701"/>
      <name val="Calibri Light"/>
      <family val="1"/>
      <scheme val="major"/>
    </font>
    <font>
      <sz val="11"/>
      <color theme="4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3"/>
      </bottom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ck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1" tint="0.499984740745262"/>
      </right>
      <top/>
      <bottom/>
      <diagonal/>
    </border>
  </borders>
  <cellStyleXfs count="32">
    <xf numFmtId="0" fontId="0" fillId="0" borderId="0"/>
    <xf numFmtId="0" fontId="2" fillId="0" borderId="0" applyNumberFormat="0" applyFill="0" applyProtection="0">
      <alignment horizontal="left" wrapText="1"/>
    </xf>
    <xf numFmtId="0" fontId="3" fillId="0" borderId="0" applyNumberFormat="0" applyFill="0" applyBorder="0" applyProtection="0">
      <alignment horizontal="right"/>
    </xf>
    <xf numFmtId="0" fontId="4" fillId="0" borderId="0">
      <alignment horizontal="left" vertical="center" wrapText="1"/>
    </xf>
    <xf numFmtId="0" fontId="5" fillId="0" borderId="0" applyNumberFormat="0" applyFill="0" applyProtection="0">
      <alignment horizontal="left" vertical="top" wrapText="1"/>
    </xf>
    <xf numFmtId="0" fontId="6" fillId="0" borderId="0" applyNumberFormat="0" applyFill="0" applyProtection="0">
      <alignment horizontal="left"/>
    </xf>
    <xf numFmtId="165" fontId="4" fillId="0" borderId="0" applyFont="0" applyFill="0" applyBorder="0">
      <alignment horizontal="left"/>
    </xf>
    <xf numFmtId="166" fontId="4" fillId="0" borderId="0" applyFont="0" applyFill="0" applyBorder="0">
      <alignment horizontal="left" vertical="top"/>
    </xf>
    <xf numFmtId="0" fontId="4" fillId="0" borderId="0" applyNumberFormat="0" applyFont="0" applyFill="0" applyBorder="0">
      <alignment horizontal="left" vertical="top" wrapText="1"/>
    </xf>
    <xf numFmtId="0" fontId="4" fillId="0" borderId="0" applyNumberFormat="0" applyFont="0" applyFill="0" applyBorder="0" applyProtection="0">
      <alignment horizontal="center" vertical="center"/>
    </xf>
    <xf numFmtId="2" fontId="4" fillId="0" borderId="0" applyFont="0" applyFill="0" applyBorder="0" applyProtection="0">
      <alignment horizontal="right" vertical="center"/>
    </xf>
    <xf numFmtId="167" fontId="4" fillId="0" borderId="0" applyFont="0" applyFill="0" applyBorder="0" applyProtection="0">
      <alignment horizontal="right" vertical="center"/>
    </xf>
    <xf numFmtId="164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 applyProtection="0">
      <alignment horizontal="right" vertical="center" indent="1"/>
    </xf>
    <xf numFmtId="10" fontId="4" fillId="0" borderId="0" applyFont="0" applyFill="0" applyBorder="0" applyProtection="0">
      <alignment horizontal="right" vertical="center"/>
    </xf>
    <xf numFmtId="0" fontId="6" fillId="0" borderId="0" applyNumberFormat="0" applyFill="0" applyBorder="0" applyProtection="0">
      <alignment horizontal="center"/>
    </xf>
    <xf numFmtId="0" fontId="9" fillId="0" borderId="2" applyNumberFormat="0" applyFill="0" applyProtection="0"/>
    <xf numFmtId="0" fontId="10" fillId="0" borderId="2"/>
    <xf numFmtId="0" fontId="11" fillId="0" borderId="0" applyFill="0" applyBorder="0">
      <alignment horizontal="left" vertical="center"/>
    </xf>
    <xf numFmtId="168" fontId="4" fillId="0" borderId="3">
      <alignment horizontal="left" vertical="center"/>
    </xf>
    <xf numFmtId="0" fontId="12" fillId="0" borderId="0" applyFill="0" applyBorder="0">
      <alignment horizontal="right" vertical="center" indent="1"/>
    </xf>
    <xf numFmtId="0" fontId="8" fillId="0" borderId="0" applyNumberFormat="0" applyFill="0" applyAlignment="0" applyProtection="0"/>
    <xf numFmtId="169" fontId="6" fillId="0" borderId="0">
      <alignment horizontal="left" vertical="center" wrapText="1"/>
    </xf>
    <xf numFmtId="0" fontId="8" fillId="0" borderId="5" applyNumberFormat="0" applyFill="0" applyProtection="0"/>
    <xf numFmtId="0" fontId="13" fillId="0" borderId="0" applyNumberFormat="0" applyFill="0" applyBorder="0">
      <alignment horizontal="right" wrapText="1"/>
    </xf>
    <xf numFmtId="0" fontId="11" fillId="0" borderId="0" applyNumberFormat="0" applyFont="0" applyFill="0" applyBorder="0">
      <alignment horizontal="right" vertical="center" wrapText="1"/>
    </xf>
    <xf numFmtId="0" fontId="11" fillId="0" borderId="0" applyNumberFormat="0" applyFont="0" applyFill="0" applyBorder="0">
      <alignment horizontal="left" vertical="top"/>
    </xf>
    <xf numFmtId="170" fontId="11" fillId="0" borderId="0">
      <alignment horizontal="left" vertical="center" indent="1"/>
    </xf>
    <xf numFmtId="171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0" fontId="14" fillId="0" borderId="6" applyNumberFormat="0" applyFill="0" applyProtection="0">
      <alignment horizontal="right" vertical="center" indent="1"/>
    </xf>
    <xf numFmtId="0" fontId="13" fillId="0" borderId="4" applyNumberFormat="0" applyFill="0" applyProtection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Border="1"/>
    <xf numFmtId="0" fontId="0" fillId="0" borderId="0" xfId="0" applyFont="1"/>
  </cellXfs>
  <cellStyles count="32">
    <cellStyle name="Comma 2" xfId="10" xr:uid="{C851D2E3-B39A-4E16-9697-A8ED412577B5}"/>
    <cellStyle name="Currency [0] 2" xfId="12" xr:uid="{5735F2BC-A842-401F-9234-396472946CA3}"/>
    <cellStyle name="Currency [0] 3" xfId="29" xr:uid="{1312BBF6-F3CB-4C72-9E17-0A62AB80CB73}"/>
    <cellStyle name="Currency 2" xfId="11" xr:uid="{C4ECB103-8C42-4CE3-B307-55898B25667E}"/>
    <cellStyle name="Currency 3" xfId="28" xr:uid="{09B2EFE8-B978-4E6C-92ED-B5396ED890E7}"/>
    <cellStyle name="Date" xfId="6" xr:uid="{82965270-B4E2-44E8-AA43-6D3845ABBFA1}"/>
    <cellStyle name="Date 2" xfId="19" xr:uid="{65604E20-3BA6-43E9-B1BC-86F62A29F6CC}"/>
    <cellStyle name="Due Date" xfId="22" xr:uid="{2AC246EB-6DCB-4BEA-9E3E-E0566D76ED47}"/>
    <cellStyle name="Explanatory Text 2" xfId="15" xr:uid="{60768490-BFC0-44DC-94B4-FDE8279EAA9E}"/>
    <cellStyle name="Heading 1 2" xfId="1" xr:uid="{D1E852EE-AAF4-4933-99FE-13760125ACEB}"/>
    <cellStyle name="Heading 1 3" xfId="21" xr:uid="{B72348B4-3615-46B6-9A24-B3A6984C17AF}"/>
    <cellStyle name="Heading 2 2" xfId="4" xr:uid="{384FE4F0-FF05-4AE3-9F14-FEE72F79CDE7}"/>
    <cellStyle name="Heading 2 3" xfId="23" xr:uid="{5026FAEC-F64E-44A6-A6AA-3C84A69C89D8}"/>
    <cellStyle name="Heading 3 2" xfId="5" xr:uid="{5F0396EC-A97F-449F-8CDB-A2E80226FB9E}"/>
    <cellStyle name="Heading 3 3" xfId="30" xr:uid="{BB287271-AF34-4521-8E15-CCBCDB3AB1EA}"/>
    <cellStyle name="Heading 4 2" xfId="9" xr:uid="{ED8152A6-75EE-4E7B-A56E-9352006821FC}"/>
    <cellStyle name="Heading 4 3" xfId="31" xr:uid="{DDF83462-96F0-4105-9623-42ECCBA7E2D6}"/>
    <cellStyle name="Invoice Number" xfId="17" xr:uid="{42D9F5DB-9D5A-4EA0-80D7-9B270F18D615}"/>
    <cellStyle name="Invoice Total" xfId="20" xr:uid="{DA143AF0-22E8-41F8-A5C3-15CE21179660}"/>
    <cellStyle name="Normal" xfId="0" builtinId="0"/>
    <cellStyle name="Normal 2" xfId="3" xr:uid="{51859FA2-2C26-4B8A-87D1-37DDEC96C324}"/>
    <cellStyle name="Normal 3" xfId="18" xr:uid="{EA46B284-BE08-4851-B2E9-9FA37ACAD12C}"/>
    <cellStyle name="Percent 2" xfId="14" xr:uid="{AAFEC47C-9A34-4EA9-93AF-1E9F0CF40B4D}"/>
    <cellStyle name="Phone" xfId="7" xr:uid="{AF687441-4139-4A5D-9E0A-BACC8E1FFA38}"/>
    <cellStyle name="Product Description" xfId="8" xr:uid="{89938B28-F647-4D49-A909-9D5A1416D715}"/>
    <cellStyle name="Quantity" xfId="27" xr:uid="{A1E5D717-0395-43DF-B87C-C93F7C54FFA2}"/>
    <cellStyle name="Right Aligned" xfId="13" xr:uid="{62D7DA7E-941A-44F2-99A9-3625BAE1372D}"/>
    <cellStyle name="Right Bottom Alignment" xfId="24" xr:uid="{C294742B-8841-4064-A1F5-0051A873A0CF}"/>
    <cellStyle name="Right Centered Alignment" xfId="25" xr:uid="{3576ECE5-24F0-4237-ACE0-DACC5BADFA41}"/>
    <cellStyle name="Title 2" xfId="2" xr:uid="{AB2E54FD-FC80-417B-BF94-1B51B431B31D}"/>
    <cellStyle name="Title 3" xfId="16" xr:uid="{D448F236-B607-4F11-8F23-2304A1E06CC9}"/>
    <cellStyle name="Top Alignment" xfId="26" xr:uid="{4C371E3A-F602-4B0F-84E3-D55E37038090}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border>
        <left/>
        <right/>
        <top style="thin">
          <color theme="1"/>
        </top>
        <bottom/>
        <vertical/>
      </border>
    </dxf>
    <dxf>
      <font>
        <b val="0"/>
        <i val="0"/>
        <color theme="1"/>
      </font>
      <border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font>
        <b val="0"/>
        <i val="0"/>
        <color theme="3"/>
      </font>
      <fill>
        <patternFill>
          <bgColor theme="2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3"/>
      </font>
      <fill>
        <patternFill patternType="none">
          <bgColor auto="1"/>
        </patternFill>
      </fill>
      <border diagonalUp="0" diagonalDown="0">
        <left/>
        <right/>
        <top style="thin">
          <color theme="2"/>
        </top>
        <bottom style="thin">
          <color theme="3"/>
        </bottom>
        <vertical/>
        <horizontal/>
      </border>
    </dxf>
    <dxf>
      <font>
        <b val="0"/>
        <i val="0"/>
        <color theme="1"/>
      </font>
      <fill>
        <patternFill patternType="none">
          <bgColor auto="1"/>
        </patternFill>
      </fill>
      <border>
        <left/>
        <right/>
        <top style="thick">
          <color theme="3"/>
        </top>
        <bottom style="thin">
          <color theme="2" tint="-0.24994659260841701"/>
        </bottom>
        <vertical/>
        <horizontal/>
      </border>
    </dxf>
    <dxf>
      <font>
        <color theme="3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Billing Invoice" pivot="0" count="4" xr9:uid="{53CBB49E-88EA-4426-9831-1174F0C126C8}">
      <tableStyleElement type="wholeTable" dxfId="10"/>
      <tableStyleElement type="headerRow" dxfId="9"/>
      <tableStyleElement type="totalRow" dxfId="8"/>
      <tableStyleElement type="firstRowStripe" dxfId="7"/>
    </tableStyle>
    <tableStyle name="Service invoice with tax calculation" pivot="0" count="7" xr9:uid="{A7531E82-FF74-4193-A395-7045BADCF6D2}">
      <tableStyleElement type="wholeTable" dxfId="6"/>
      <tableStyleElement type="headerRow" dxfId="5"/>
      <tableStyleElement type="totalRow" dxfId="4"/>
      <tableStyleElement type="lastColumn" dxfId="3"/>
      <tableStyleElement type="firstRowStripe" dxfId="2"/>
      <tableStyleElement type="lastHeaderCell" dxfId="1"/>
      <tableStyleElement type="lastTotalCell" dxfId="0"/>
    </tableStyle>
  </tableStyles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</xdr:row>
          <xdr:rowOff>85725</xdr:rowOff>
        </xdr:from>
        <xdr:to>
          <xdr:col>1</xdr:col>
          <xdr:colOff>504825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0</xdr:row>
          <xdr:rowOff>95250</xdr:rowOff>
        </xdr:from>
        <xdr:to>
          <xdr:col>11</xdr:col>
          <xdr:colOff>0</xdr:colOff>
          <xdr:row>1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85725</xdr:rowOff>
        </xdr:from>
        <xdr:to>
          <xdr:col>1</xdr:col>
          <xdr:colOff>504825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Vault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3</xdr:row>
          <xdr:rowOff>85725</xdr:rowOff>
        </xdr:from>
        <xdr:to>
          <xdr:col>1</xdr:col>
          <xdr:colOff>1819275</xdr:colOff>
          <xdr:row>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Lists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I%20-%20Development\M-Files%20Invoice%20Templates\Courier%20Invo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 Invoice"/>
      <sheetName val="Company Setup"/>
      <sheetName val="Courier Invoice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8FE0-3C7E-4C7D-893E-4E79B978B988}">
  <sheetPr codeName="Sheet12"/>
  <dimension ref="A1:I100"/>
  <sheetViews>
    <sheetView tabSelected="1" workbookViewId="0">
      <selection activeCell="B1" sqref="B1"/>
    </sheetView>
  </sheetViews>
  <sheetFormatPr defaultRowHeight="15" x14ac:dyDescent="0.25"/>
  <cols>
    <col min="1" max="1" width="11" bestFit="1" customWidth="1"/>
    <col min="2" max="2" width="36.140625" customWidth="1"/>
    <col min="3" max="3" width="10.42578125" bestFit="1" customWidth="1"/>
    <col min="4" max="4" width="15.5703125" bestFit="1" customWidth="1"/>
    <col min="5" max="5" width="12" bestFit="1" customWidth="1"/>
    <col min="6" max="6" width="15.140625" bestFit="1" customWidth="1"/>
    <col min="7" max="7" width="14.7109375" bestFit="1" customWidth="1"/>
    <col min="9" max="9" width="39.28515625" bestFit="1" customWidth="1"/>
  </cols>
  <sheetData>
    <row r="1" spans="1:9" x14ac:dyDescent="0.25">
      <c r="A1" s="3" t="s">
        <v>1</v>
      </c>
      <c r="B1" s="2" t="s">
        <v>1110</v>
      </c>
      <c r="D1" s="3" t="s">
        <v>4</v>
      </c>
      <c r="E1" s="3" t="s">
        <v>3</v>
      </c>
      <c r="F1" s="3" t="s">
        <v>6</v>
      </c>
      <c r="G1" s="3" t="s">
        <v>5</v>
      </c>
      <c r="I1" s="3" t="s">
        <v>2</v>
      </c>
    </row>
    <row r="2" spans="1:9" x14ac:dyDescent="0.25">
      <c r="D2" s="2" t="s">
        <v>85</v>
      </c>
      <c r="F2" s="2" t="s">
        <v>75</v>
      </c>
      <c r="G2" s="2" t="s">
        <v>75</v>
      </c>
      <c r="I2" s="2">
        <v>1</v>
      </c>
    </row>
    <row r="3" spans="1:9" x14ac:dyDescent="0.25">
      <c r="D3" s="2" t="s">
        <v>81</v>
      </c>
      <c r="F3" s="2" t="s">
        <v>70</v>
      </c>
      <c r="I3" s="2" t="s">
        <v>1110</v>
      </c>
    </row>
    <row r="4" spans="1:9" x14ac:dyDescent="0.25">
      <c r="D4" s="2" t="s">
        <v>83</v>
      </c>
      <c r="I4" s="2" t="s">
        <v>1061</v>
      </c>
    </row>
    <row r="5" spans="1:9" x14ac:dyDescent="0.25">
      <c r="I5" s="2" t="s">
        <v>1066</v>
      </c>
    </row>
    <row r="6" spans="1:9" x14ac:dyDescent="0.25">
      <c r="I6" s="2" t="s">
        <v>1093</v>
      </c>
    </row>
    <row r="7" spans="1:9" x14ac:dyDescent="0.25">
      <c r="I7" s="2" t="s">
        <v>1106</v>
      </c>
    </row>
    <row r="8" spans="1:9" x14ac:dyDescent="0.25">
      <c r="I8" s="2" t="s">
        <v>1087</v>
      </c>
    </row>
    <row r="9" spans="1:9" x14ac:dyDescent="0.25">
      <c r="I9" s="2" t="s">
        <v>1108</v>
      </c>
    </row>
    <row r="10" spans="1:9" x14ac:dyDescent="0.25">
      <c r="I10" s="2" t="s">
        <v>1095</v>
      </c>
    </row>
    <row r="11" spans="1:9" x14ac:dyDescent="0.25">
      <c r="I11" s="2" t="s">
        <v>1079</v>
      </c>
    </row>
    <row r="12" spans="1:9" x14ac:dyDescent="0.25">
      <c r="I12" s="2" t="s">
        <v>1080</v>
      </c>
    </row>
    <row r="13" spans="1:9" x14ac:dyDescent="0.25">
      <c r="I13" s="2" t="s">
        <v>1064</v>
      </c>
    </row>
    <row r="14" spans="1:9" x14ac:dyDescent="0.25">
      <c r="I14" s="2" t="s">
        <v>1068</v>
      </c>
    </row>
    <row r="15" spans="1:9" x14ac:dyDescent="0.25">
      <c r="I15" s="2" t="s">
        <v>1084</v>
      </c>
    </row>
    <row r="16" spans="1:9" x14ac:dyDescent="0.25">
      <c r="I16" s="2" t="s">
        <v>1078</v>
      </c>
    </row>
    <row r="17" spans="9:9" x14ac:dyDescent="0.25">
      <c r="I17" s="2" t="s">
        <v>1063</v>
      </c>
    </row>
    <row r="18" spans="9:9" x14ac:dyDescent="0.25">
      <c r="I18" s="2" t="s">
        <v>1107</v>
      </c>
    </row>
    <row r="19" spans="9:9" x14ac:dyDescent="0.25">
      <c r="I19" s="2" t="s">
        <v>1083</v>
      </c>
    </row>
    <row r="20" spans="9:9" x14ac:dyDescent="0.25">
      <c r="I20" s="2" t="s">
        <v>1104</v>
      </c>
    </row>
    <row r="21" spans="9:9" x14ac:dyDescent="0.25">
      <c r="I21" s="2" t="s">
        <v>1109</v>
      </c>
    </row>
    <row r="22" spans="9:9" x14ac:dyDescent="0.25">
      <c r="I22" s="2" t="s">
        <v>1102</v>
      </c>
    </row>
    <row r="23" spans="9:9" x14ac:dyDescent="0.25">
      <c r="I23" s="2" t="s">
        <v>1082</v>
      </c>
    </row>
    <row r="24" spans="9:9" x14ac:dyDescent="0.25">
      <c r="I24" s="2" t="s">
        <v>1089</v>
      </c>
    </row>
    <row r="25" spans="9:9" x14ac:dyDescent="0.25">
      <c r="I25" s="2" t="s">
        <v>1100</v>
      </c>
    </row>
    <row r="26" spans="9:9" x14ac:dyDescent="0.25">
      <c r="I26" s="2" t="s">
        <v>1090</v>
      </c>
    </row>
    <row r="27" spans="9:9" x14ac:dyDescent="0.25">
      <c r="I27" s="2" t="s">
        <v>1088</v>
      </c>
    </row>
    <row r="28" spans="9:9" x14ac:dyDescent="0.25">
      <c r="I28" s="2" t="s">
        <v>1073</v>
      </c>
    </row>
    <row r="29" spans="9:9" x14ac:dyDescent="0.25">
      <c r="I29" s="2" t="s">
        <v>1105</v>
      </c>
    </row>
    <row r="30" spans="9:9" x14ac:dyDescent="0.25">
      <c r="I30" s="2" t="s">
        <v>1086</v>
      </c>
    </row>
    <row r="31" spans="9:9" x14ac:dyDescent="0.25">
      <c r="I31" s="2" t="s">
        <v>1069</v>
      </c>
    </row>
    <row r="32" spans="9:9" x14ac:dyDescent="0.25">
      <c r="I32" s="2" t="s">
        <v>1071</v>
      </c>
    </row>
    <row r="33" spans="9:9" x14ac:dyDescent="0.25">
      <c r="I33" s="2" t="s">
        <v>1077</v>
      </c>
    </row>
    <row r="34" spans="9:9" x14ac:dyDescent="0.25">
      <c r="I34" s="2" t="s">
        <v>1098</v>
      </c>
    </row>
    <row r="35" spans="9:9" x14ac:dyDescent="0.25">
      <c r="I35" s="2" t="s">
        <v>1067</v>
      </c>
    </row>
    <row r="36" spans="9:9" x14ac:dyDescent="0.25">
      <c r="I36" s="2" t="s">
        <v>1096</v>
      </c>
    </row>
    <row r="37" spans="9:9" x14ac:dyDescent="0.25">
      <c r="I37" s="2" t="s">
        <v>1060</v>
      </c>
    </row>
    <row r="38" spans="9:9" x14ac:dyDescent="0.25">
      <c r="I38" s="2" t="s">
        <v>1092</v>
      </c>
    </row>
    <row r="39" spans="9:9" x14ac:dyDescent="0.25">
      <c r="I39" s="2" t="s">
        <v>1091</v>
      </c>
    </row>
    <row r="40" spans="9:9" x14ac:dyDescent="0.25">
      <c r="I40" s="2" t="s">
        <v>1075</v>
      </c>
    </row>
    <row r="41" spans="9:9" x14ac:dyDescent="0.25">
      <c r="I41" s="2" t="s">
        <v>1070</v>
      </c>
    </row>
    <row r="42" spans="9:9" x14ac:dyDescent="0.25">
      <c r="I42" s="2" t="s">
        <v>1085</v>
      </c>
    </row>
    <row r="43" spans="9:9" x14ac:dyDescent="0.25">
      <c r="I43" s="2" t="s">
        <v>26</v>
      </c>
    </row>
    <row r="44" spans="9:9" x14ac:dyDescent="0.25">
      <c r="I44" s="2" t="s">
        <v>1059</v>
      </c>
    </row>
    <row r="45" spans="9:9" x14ac:dyDescent="0.25">
      <c r="I45" s="2" t="s">
        <v>1094</v>
      </c>
    </row>
    <row r="46" spans="9:9" x14ac:dyDescent="0.25">
      <c r="I46" s="2" t="s">
        <v>1101</v>
      </c>
    </row>
    <row r="47" spans="9:9" x14ac:dyDescent="0.25">
      <c r="I47" s="2" t="s">
        <v>1099</v>
      </c>
    </row>
    <row r="48" spans="9:9" x14ac:dyDescent="0.25">
      <c r="I48" s="2" t="s">
        <v>1081</v>
      </c>
    </row>
    <row r="49" spans="9:9" x14ac:dyDescent="0.25">
      <c r="I49" s="2" t="s">
        <v>1065</v>
      </c>
    </row>
    <row r="50" spans="9:9" x14ac:dyDescent="0.25">
      <c r="I50" s="2" t="s">
        <v>1103</v>
      </c>
    </row>
    <row r="51" spans="9:9" x14ac:dyDescent="0.25">
      <c r="I51" s="2" t="s">
        <v>1074</v>
      </c>
    </row>
    <row r="52" spans="9:9" x14ac:dyDescent="0.25">
      <c r="I52" s="2" t="s">
        <v>1072</v>
      </c>
    </row>
    <row r="53" spans="9:9" x14ac:dyDescent="0.25">
      <c r="I53" s="2" t="s">
        <v>1097</v>
      </c>
    </row>
    <row r="54" spans="9:9" x14ac:dyDescent="0.25">
      <c r="I54" s="2" t="s">
        <v>1076</v>
      </c>
    </row>
    <row r="55" spans="9:9" x14ac:dyDescent="0.25">
      <c r="I55" s="2" t="s">
        <v>1062</v>
      </c>
    </row>
    <row r="56" spans="9:9" x14ac:dyDescent="0.25">
      <c r="I56" s="4"/>
    </row>
    <row r="57" spans="9:9" x14ac:dyDescent="0.25">
      <c r="I57" s="4"/>
    </row>
    <row r="58" spans="9:9" x14ac:dyDescent="0.25">
      <c r="I58" s="4"/>
    </row>
    <row r="59" spans="9:9" x14ac:dyDescent="0.25">
      <c r="I59" s="4"/>
    </row>
    <row r="60" spans="9:9" x14ac:dyDescent="0.25">
      <c r="I60" s="4"/>
    </row>
    <row r="61" spans="9:9" x14ac:dyDescent="0.25">
      <c r="I61" s="4"/>
    </row>
    <row r="62" spans="9:9" x14ac:dyDescent="0.25">
      <c r="I62" s="4"/>
    </row>
    <row r="63" spans="9:9" x14ac:dyDescent="0.25">
      <c r="I63" s="4"/>
    </row>
    <row r="64" spans="9:9" x14ac:dyDescent="0.25">
      <c r="I64" s="4"/>
    </row>
    <row r="65" spans="9:9" x14ac:dyDescent="0.25">
      <c r="I65" s="4"/>
    </row>
    <row r="66" spans="9:9" x14ac:dyDescent="0.25">
      <c r="I66" s="4"/>
    </row>
    <row r="67" spans="9:9" x14ac:dyDescent="0.25">
      <c r="I67" s="4"/>
    </row>
    <row r="68" spans="9:9" x14ac:dyDescent="0.25">
      <c r="I68" s="4"/>
    </row>
    <row r="69" spans="9:9" x14ac:dyDescent="0.25">
      <c r="I69" s="4"/>
    </row>
    <row r="70" spans="9:9" x14ac:dyDescent="0.25">
      <c r="I70" s="4"/>
    </row>
    <row r="71" spans="9:9" x14ac:dyDescent="0.25">
      <c r="I71" s="4"/>
    </row>
    <row r="72" spans="9:9" x14ac:dyDescent="0.25">
      <c r="I72" s="4"/>
    </row>
    <row r="73" spans="9:9" x14ac:dyDescent="0.25">
      <c r="I73" s="4"/>
    </row>
    <row r="74" spans="9:9" x14ac:dyDescent="0.25">
      <c r="I74" s="4"/>
    </row>
    <row r="75" spans="9:9" x14ac:dyDescent="0.25">
      <c r="I75" s="4"/>
    </row>
    <row r="76" spans="9:9" x14ac:dyDescent="0.25">
      <c r="I76" s="4"/>
    </row>
    <row r="77" spans="9:9" x14ac:dyDescent="0.25">
      <c r="I77" s="4"/>
    </row>
    <row r="78" spans="9:9" x14ac:dyDescent="0.25">
      <c r="I78" s="4"/>
    </row>
    <row r="79" spans="9:9" x14ac:dyDescent="0.25">
      <c r="I79" s="4"/>
    </row>
    <row r="80" spans="9:9" x14ac:dyDescent="0.25">
      <c r="I80" s="4"/>
    </row>
    <row r="81" spans="9:9" x14ac:dyDescent="0.25">
      <c r="I81" s="4"/>
    </row>
    <row r="82" spans="9:9" x14ac:dyDescent="0.25">
      <c r="I82" s="4"/>
    </row>
    <row r="83" spans="9:9" x14ac:dyDescent="0.25">
      <c r="I83" s="4"/>
    </row>
    <row r="84" spans="9:9" x14ac:dyDescent="0.25">
      <c r="I84" s="4"/>
    </row>
    <row r="85" spans="9:9" x14ac:dyDescent="0.25">
      <c r="I85" s="4"/>
    </row>
    <row r="86" spans="9:9" x14ac:dyDescent="0.25">
      <c r="I86" s="4"/>
    </row>
    <row r="87" spans="9:9" x14ac:dyDescent="0.25">
      <c r="I87" s="4"/>
    </row>
    <row r="88" spans="9:9" x14ac:dyDescent="0.25">
      <c r="I88" s="4"/>
    </row>
    <row r="89" spans="9:9" x14ac:dyDescent="0.25">
      <c r="I89" s="4"/>
    </row>
    <row r="90" spans="9:9" x14ac:dyDescent="0.25">
      <c r="I90" s="4"/>
    </row>
    <row r="91" spans="9:9" x14ac:dyDescent="0.25">
      <c r="I91" s="4"/>
    </row>
    <row r="92" spans="9:9" x14ac:dyDescent="0.25">
      <c r="I92" s="4"/>
    </row>
    <row r="93" spans="9:9" x14ac:dyDescent="0.25">
      <c r="I93" s="4"/>
    </row>
    <row r="94" spans="9:9" x14ac:dyDescent="0.25">
      <c r="I94" s="4"/>
    </row>
    <row r="95" spans="9:9" x14ac:dyDescent="0.25">
      <c r="I95" s="4"/>
    </row>
    <row r="96" spans="9:9" x14ac:dyDescent="0.25">
      <c r="I96" s="4"/>
    </row>
    <row r="97" spans="9:9" x14ac:dyDescent="0.25">
      <c r="I97" s="4"/>
    </row>
    <row r="98" spans="9:9" x14ac:dyDescent="0.25">
      <c r="I98" s="4"/>
    </row>
    <row r="99" spans="9:9" x14ac:dyDescent="0.25">
      <c r="I99" s="4"/>
    </row>
    <row r="100" spans="9:9" x14ac:dyDescent="0.25">
      <c r="I100" s="4"/>
    </row>
  </sheetData>
  <sortState xmlns:xlrd2="http://schemas.microsoft.com/office/spreadsheetml/2017/richdata2" ref="I2:I55">
    <sortCondition ref="I2"/>
  </sortState>
  <dataValidations count="1">
    <dataValidation type="list" allowBlank="1" showInputMessage="1" showErrorMessage="1" sqref="B1" xr:uid="{D982CAEB-9EE9-4303-B368-E9EB5F8DAC4A}">
      <formula1>$I$2:$I$100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ocess">
                <anchor moveWithCells="1" sizeWithCells="1">
                  <from>
                    <xdr:col>0</xdr:col>
                    <xdr:colOff>123825</xdr:colOff>
                    <xdr:row>5</xdr:row>
                    <xdr:rowOff>85725</xdr:rowOff>
                  </from>
                  <to>
                    <xdr:col>1</xdr:col>
                    <xdr:colOff>504825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efreshVaults">
                <anchor moveWithCells="1" sizeWithCells="1">
                  <from>
                    <xdr:col>9</xdr:col>
                    <xdr:colOff>466725</xdr:colOff>
                    <xdr:row>0</xdr:row>
                    <xdr:rowOff>95250</xdr:rowOff>
                  </from>
                  <to>
                    <xdr:col>11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Process">
                <anchor moveWithCells="1" sizeWithCells="1">
                  <from>
                    <xdr:col>0</xdr:col>
                    <xdr:colOff>123825</xdr:colOff>
                    <xdr:row>3</xdr:row>
                    <xdr:rowOff>85725</xdr:rowOff>
                  </from>
                  <to>
                    <xdr:col>1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LoadValueLists">
                <anchor moveWithCells="1" sizeWithCells="1">
                  <from>
                    <xdr:col>1</xdr:col>
                    <xdr:colOff>704850</xdr:colOff>
                    <xdr:row>3</xdr:row>
                    <xdr:rowOff>85725</xdr:rowOff>
                  </from>
                  <to>
                    <xdr:col>1</xdr:col>
                    <xdr:colOff>1819275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BEEE0-840F-4807-895E-9F3031C00AA8}">
  <sheetPr codeName="Sheet16"/>
  <dimension ref="A1:K76"/>
  <sheetViews>
    <sheetView workbookViewId="0">
      <pane ySplit="1" topLeftCell="A38" activePane="bottomLeft" state="frozen"/>
      <selection pane="bottomLeft" activeCell="A60" sqref="A60"/>
    </sheetView>
  </sheetViews>
  <sheetFormatPr defaultRowHeight="15" x14ac:dyDescent="0.25"/>
  <cols>
    <col min="1" max="1" width="16.5703125" bestFit="1" customWidth="1"/>
    <col min="2" max="2" width="19.7109375" bestFit="1" customWidth="1"/>
    <col min="3" max="3" width="17.5703125" bestFit="1" customWidth="1"/>
    <col min="4" max="4" width="26.5703125" bestFit="1" customWidth="1"/>
    <col min="5" max="5" width="28.85546875" bestFit="1" customWidth="1"/>
    <col min="6" max="6" width="15.5703125" bestFit="1" customWidth="1"/>
    <col min="7" max="7" width="90" bestFit="1" customWidth="1"/>
    <col min="8" max="8" width="80.42578125" bestFit="1" customWidth="1"/>
    <col min="9" max="9" width="19.5703125" bestFit="1" customWidth="1"/>
    <col min="10" max="10" width="9.140625" bestFit="1" customWidth="1"/>
    <col min="11" max="11" width="21.140625" bestFit="1" customWidth="1"/>
  </cols>
  <sheetData>
    <row r="1" spans="1:11" x14ac:dyDescent="0.25">
      <c r="A1" s="1" t="s">
        <v>7</v>
      </c>
      <c r="B1" s="1" t="s">
        <v>25</v>
      </c>
      <c r="C1" s="1" t="s">
        <v>8</v>
      </c>
      <c r="D1" s="1" t="s">
        <v>9</v>
      </c>
      <c r="E1" s="1" t="s">
        <v>10</v>
      </c>
      <c r="F1" s="1" t="s">
        <v>23</v>
      </c>
      <c r="G1" s="1" t="s">
        <v>115</v>
      </c>
      <c r="H1" s="1" t="s">
        <v>24</v>
      </c>
      <c r="I1" s="1" t="s">
        <v>28</v>
      </c>
      <c r="J1" s="1" t="s">
        <v>27</v>
      </c>
      <c r="K1" s="1" t="s">
        <v>1141</v>
      </c>
    </row>
    <row r="2" spans="1:11" x14ac:dyDescent="0.25">
      <c r="A2" t="s">
        <v>81</v>
      </c>
      <c r="B2" t="s">
        <v>82</v>
      </c>
    </row>
    <row r="3" spans="1:11" x14ac:dyDescent="0.25">
      <c r="A3" t="s">
        <v>83</v>
      </c>
      <c r="B3" t="s">
        <v>84</v>
      </c>
    </row>
    <row r="4" spans="1:11" x14ac:dyDescent="0.25">
      <c r="A4" t="s">
        <v>85</v>
      </c>
      <c r="B4" t="s">
        <v>85</v>
      </c>
    </row>
    <row r="5" spans="1:11" x14ac:dyDescent="0.25">
      <c r="A5" t="s">
        <v>75</v>
      </c>
      <c r="B5" t="s">
        <v>73</v>
      </c>
      <c r="C5" t="s">
        <v>75</v>
      </c>
      <c r="D5" t="s">
        <v>72</v>
      </c>
      <c r="E5" t="s">
        <v>20</v>
      </c>
      <c r="F5" s="5"/>
      <c r="G5" s="5"/>
      <c r="H5" s="5" t="s">
        <v>92</v>
      </c>
      <c r="I5" s="5" t="b">
        <v>1</v>
      </c>
      <c r="J5" s="5" t="b">
        <v>1</v>
      </c>
      <c r="K5" t="b">
        <v>1</v>
      </c>
    </row>
    <row r="6" spans="1:11" x14ac:dyDescent="0.25">
      <c r="A6" t="s">
        <v>75</v>
      </c>
      <c r="B6" t="s">
        <v>73</v>
      </c>
      <c r="C6" t="s">
        <v>75</v>
      </c>
      <c r="D6" t="s">
        <v>74</v>
      </c>
      <c r="E6" t="s">
        <v>20</v>
      </c>
      <c r="F6" s="5"/>
      <c r="G6" s="5"/>
      <c r="H6" s="5"/>
      <c r="I6" t="b">
        <v>0</v>
      </c>
      <c r="J6" t="b">
        <v>0</v>
      </c>
    </row>
    <row r="7" spans="1:11" x14ac:dyDescent="0.25">
      <c r="A7" t="s">
        <v>75</v>
      </c>
      <c r="B7" t="s">
        <v>73</v>
      </c>
      <c r="C7" t="s">
        <v>75</v>
      </c>
      <c r="D7" t="s">
        <v>93</v>
      </c>
      <c r="E7" t="s">
        <v>20</v>
      </c>
      <c r="F7" s="5"/>
      <c r="G7" s="5"/>
      <c r="H7" s="5"/>
      <c r="I7" t="b">
        <v>0</v>
      </c>
      <c r="J7" t="b">
        <v>0</v>
      </c>
    </row>
    <row r="8" spans="1:11" x14ac:dyDescent="0.25">
      <c r="A8" t="s">
        <v>75</v>
      </c>
      <c r="B8" t="s">
        <v>73</v>
      </c>
      <c r="C8" t="s">
        <v>75</v>
      </c>
      <c r="D8" t="s">
        <v>94</v>
      </c>
      <c r="E8" t="s">
        <v>20</v>
      </c>
      <c r="F8" s="5"/>
      <c r="G8" s="5"/>
      <c r="H8" s="5"/>
      <c r="I8" t="b">
        <v>0</v>
      </c>
      <c r="J8" t="b">
        <v>0</v>
      </c>
    </row>
    <row r="9" spans="1:11" x14ac:dyDescent="0.25">
      <c r="A9" t="s">
        <v>75</v>
      </c>
      <c r="B9" t="s">
        <v>73</v>
      </c>
      <c r="C9" t="s">
        <v>75</v>
      </c>
      <c r="D9" t="s">
        <v>95</v>
      </c>
      <c r="E9" t="s">
        <v>20</v>
      </c>
      <c r="F9" s="5"/>
      <c r="G9" s="5"/>
      <c r="H9" s="5"/>
      <c r="I9" t="b">
        <v>0</v>
      </c>
      <c r="J9" t="b">
        <v>0</v>
      </c>
    </row>
    <row r="10" spans="1:11" x14ac:dyDescent="0.25">
      <c r="A10" t="s">
        <v>75</v>
      </c>
      <c r="B10" t="s">
        <v>73</v>
      </c>
      <c r="C10" t="s">
        <v>75</v>
      </c>
      <c r="D10" t="s">
        <v>96</v>
      </c>
      <c r="E10" t="s">
        <v>20</v>
      </c>
      <c r="F10" s="5"/>
      <c r="G10" s="5"/>
      <c r="H10" s="5"/>
      <c r="I10" t="b">
        <v>0</v>
      </c>
      <c r="J10" t="b">
        <v>0</v>
      </c>
    </row>
    <row r="11" spans="1:11" x14ac:dyDescent="0.25">
      <c r="A11" t="s">
        <v>75</v>
      </c>
      <c r="B11" t="s">
        <v>73</v>
      </c>
      <c r="C11" t="s">
        <v>75</v>
      </c>
      <c r="D11" t="s">
        <v>97</v>
      </c>
      <c r="E11" t="s">
        <v>20</v>
      </c>
      <c r="F11" s="5"/>
      <c r="G11" s="5"/>
      <c r="H11" s="5"/>
      <c r="I11" t="b">
        <v>0</v>
      </c>
      <c r="J11" t="b">
        <v>0</v>
      </c>
    </row>
    <row r="12" spans="1:11" x14ac:dyDescent="0.25">
      <c r="A12" t="s">
        <v>75</v>
      </c>
      <c r="B12" t="s">
        <v>73</v>
      </c>
      <c r="C12" t="s">
        <v>75</v>
      </c>
      <c r="D12" t="s">
        <v>98</v>
      </c>
      <c r="E12" t="s">
        <v>20</v>
      </c>
      <c r="F12" s="5"/>
      <c r="G12" s="5"/>
      <c r="H12" s="5"/>
      <c r="I12" t="b">
        <v>0</v>
      </c>
      <c r="J12" t="b">
        <v>0</v>
      </c>
    </row>
    <row r="13" spans="1:11" x14ac:dyDescent="0.25">
      <c r="A13" t="s">
        <v>75</v>
      </c>
      <c r="B13" t="s">
        <v>73</v>
      </c>
      <c r="C13" t="s">
        <v>75</v>
      </c>
      <c r="D13" t="s">
        <v>99</v>
      </c>
      <c r="E13" t="s">
        <v>20</v>
      </c>
      <c r="F13" s="5"/>
      <c r="G13" s="5"/>
      <c r="H13" s="5"/>
      <c r="I13" t="b">
        <v>0</v>
      </c>
      <c r="J13" t="b">
        <v>0</v>
      </c>
    </row>
    <row r="14" spans="1:11" x14ac:dyDescent="0.25">
      <c r="A14" t="s">
        <v>75</v>
      </c>
      <c r="B14" t="s">
        <v>73</v>
      </c>
      <c r="C14" t="s">
        <v>75</v>
      </c>
      <c r="D14" t="s">
        <v>100</v>
      </c>
      <c r="E14" t="s">
        <v>20</v>
      </c>
      <c r="F14" s="5"/>
      <c r="G14" s="5"/>
      <c r="H14" s="5"/>
      <c r="I14" t="b">
        <v>0</v>
      </c>
      <c r="J14" t="b">
        <v>0</v>
      </c>
    </row>
    <row r="15" spans="1:11" x14ac:dyDescent="0.25">
      <c r="A15" t="s">
        <v>75</v>
      </c>
      <c r="B15" t="s">
        <v>73</v>
      </c>
      <c r="C15" t="s">
        <v>75</v>
      </c>
      <c r="D15" t="s">
        <v>101</v>
      </c>
      <c r="E15" t="s">
        <v>20</v>
      </c>
      <c r="F15" s="5"/>
      <c r="G15" s="5"/>
      <c r="H15" s="5"/>
      <c r="I15" t="b">
        <v>0</v>
      </c>
      <c r="J15" t="b">
        <v>0</v>
      </c>
    </row>
    <row r="16" spans="1:11" x14ac:dyDescent="0.25">
      <c r="A16" t="s">
        <v>75</v>
      </c>
      <c r="B16" t="s">
        <v>73</v>
      </c>
      <c r="C16" t="s">
        <v>75</v>
      </c>
      <c r="D16" t="s">
        <v>81</v>
      </c>
      <c r="E16" t="s">
        <v>17</v>
      </c>
      <c r="F16" s="5" t="s">
        <v>81</v>
      </c>
      <c r="G16" s="5"/>
      <c r="H16" s="5"/>
      <c r="I16" t="b">
        <v>0</v>
      </c>
      <c r="J16" t="b">
        <v>0</v>
      </c>
    </row>
    <row r="17" spans="1:10" x14ac:dyDescent="0.25">
      <c r="A17" t="s">
        <v>70</v>
      </c>
      <c r="B17" t="s">
        <v>71</v>
      </c>
      <c r="C17" t="s">
        <v>70</v>
      </c>
      <c r="D17" t="s">
        <v>75</v>
      </c>
      <c r="E17" t="s">
        <v>17</v>
      </c>
      <c r="F17" s="5" t="s">
        <v>75</v>
      </c>
      <c r="G17" s="5"/>
      <c r="H17" s="5"/>
      <c r="I17" t="b">
        <v>1</v>
      </c>
      <c r="J17" t="b">
        <v>1</v>
      </c>
    </row>
    <row r="18" spans="1:10" x14ac:dyDescent="0.25">
      <c r="A18" t="s">
        <v>70</v>
      </c>
      <c r="B18" t="s">
        <v>71</v>
      </c>
      <c r="C18" t="s">
        <v>70</v>
      </c>
      <c r="D18" t="s">
        <v>29</v>
      </c>
      <c r="E18" t="s">
        <v>20</v>
      </c>
      <c r="I18" t="b">
        <v>0</v>
      </c>
      <c r="J18" t="b">
        <v>0</v>
      </c>
    </row>
    <row r="19" spans="1:10" x14ac:dyDescent="0.25">
      <c r="A19" t="s">
        <v>70</v>
      </c>
      <c r="B19" t="s">
        <v>71</v>
      </c>
      <c r="C19" t="s">
        <v>70</v>
      </c>
      <c r="D19" t="s">
        <v>30</v>
      </c>
      <c r="E19" t="s">
        <v>20</v>
      </c>
      <c r="I19" t="b">
        <v>0</v>
      </c>
      <c r="J19" t="b">
        <v>0</v>
      </c>
    </row>
    <row r="20" spans="1:10" x14ac:dyDescent="0.25">
      <c r="A20" t="s">
        <v>70</v>
      </c>
      <c r="B20" t="s">
        <v>71</v>
      </c>
      <c r="C20" t="s">
        <v>70</v>
      </c>
      <c r="D20" t="s">
        <v>31</v>
      </c>
      <c r="E20" t="s">
        <v>20</v>
      </c>
      <c r="I20" t="b">
        <v>0</v>
      </c>
      <c r="J20" t="b">
        <v>0</v>
      </c>
    </row>
    <row r="21" spans="1:10" x14ac:dyDescent="0.25">
      <c r="A21" t="s">
        <v>70</v>
      </c>
      <c r="B21" t="s">
        <v>71</v>
      </c>
      <c r="C21" t="s">
        <v>70</v>
      </c>
      <c r="D21" t="s">
        <v>32</v>
      </c>
      <c r="E21" t="s">
        <v>20</v>
      </c>
      <c r="I21" t="b">
        <v>0</v>
      </c>
      <c r="J21" t="b">
        <v>0</v>
      </c>
    </row>
    <row r="22" spans="1:10" x14ac:dyDescent="0.25">
      <c r="A22" t="s">
        <v>70</v>
      </c>
      <c r="B22" t="s">
        <v>71</v>
      </c>
      <c r="C22" t="s">
        <v>70</v>
      </c>
      <c r="D22" t="s">
        <v>33</v>
      </c>
      <c r="E22" t="s">
        <v>20</v>
      </c>
      <c r="I22" t="b">
        <v>0</v>
      </c>
      <c r="J22" t="b">
        <v>0</v>
      </c>
    </row>
    <row r="23" spans="1:10" x14ac:dyDescent="0.25">
      <c r="A23" t="s">
        <v>70</v>
      </c>
      <c r="B23" t="s">
        <v>71</v>
      </c>
      <c r="C23" t="s">
        <v>70</v>
      </c>
      <c r="D23" t="s">
        <v>34</v>
      </c>
      <c r="E23" t="s">
        <v>20</v>
      </c>
      <c r="I23" t="b">
        <v>0</v>
      </c>
      <c r="J23" t="b">
        <v>0</v>
      </c>
    </row>
    <row r="24" spans="1:10" x14ac:dyDescent="0.25">
      <c r="A24" t="s">
        <v>70</v>
      </c>
      <c r="B24" t="s">
        <v>71</v>
      </c>
      <c r="C24" t="s">
        <v>70</v>
      </c>
      <c r="D24" t="s">
        <v>35</v>
      </c>
      <c r="E24" t="s">
        <v>20</v>
      </c>
      <c r="I24" t="b">
        <v>0</v>
      </c>
      <c r="J24" t="b">
        <v>0</v>
      </c>
    </row>
    <row r="25" spans="1:10" x14ac:dyDescent="0.25">
      <c r="A25" t="s">
        <v>70</v>
      </c>
      <c r="B25" t="s">
        <v>71</v>
      </c>
      <c r="C25" t="s">
        <v>70</v>
      </c>
      <c r="D25" t="s">
        <v>36</v>
      </c>
      <c r="E25" t="s">
        <v>20</v>
      </c>
      <c r="I25" t="b">
        <v>0</v>
      </c>
      <c r="J25" t="b">
        <v>0</v>
      </c>
    </row>
    <row r="26" spans="1:10" x14ac:dyDescent="0.25">
      <c r="A26" t="s">
        <v>70</v>
      </c>
      <c r="B26" t="s">
        <v>71</v>
      </c>
      <c r="C26" t="s">
        <v>70</v>
      </c>
      <c r="D26" t="s">
        <v>37</v>
      </c>
      <c r="E26" t="s">
        <v>20</v>
      </c>
      <c r="I26" t="b">
        <v>0</v>
      </c>
      <c r="J26" t="b">
        <v>0</v>
      </c>
    </row>
    <row r="27" spans="1:10" x14ac:dyDescent="0.25">
      <c r="A27" t="s">
        <v>70</v>
      </c>
      <c r="B27" t="s">
        <v>71</v>
      </c>
      <c r="C27" t="s">
        <v>70</v>
      </c>
      <c r="D27" t="s">
        <v>38</v>
      </c>
      <c r="E27" t="s">
        <v>20</v>
      </c>
      <c r="I27" t="b">
        <v>0</v>
      </c>
      <c r="J27" t="b">
        <v>0</v>
      </c>
    </row>
    <row r="28" spans="1:10" x14ac:dyDescent="0.25">
      <c r="A28" t="s">
        <v>70</v>
      </c>
      <c r="B28" t="s">
        <v>71</v>
      </c>
      <c r="C28" t="s">
        <v>70</v>
      </c>
      <c r="D28" t="s">
        <v>39</v>
      </c>
      <c r="E28" t="s">
        <v>20</v>
      </c>
      <c r="I28" t="b">
        <v>0</v>
      </c>
      <c r="J28" t="b">
        <v>0</v>
      </c>
    </row>
    <row r="29" spans="1:10" x14ac:dyDescent="0.25">
      <c r="A29" t="s">
        <v>70</v>
      </c>
      <c r="B29" t="s">
        <v>71</v>
      </c>
      <c r="C29" t="s">
        <v>70</v>
      </c>
      <c r="D29" t="s">
        <v>40</v>
      </c>
      <c r="E29" t="s">
        <v>20</v>
      </c>
      <c r="I29" t="b">
        <v>0</v>
      </c>
      <c r="J29" t="b">
        <v>0</v>
      </c>
    </row>
    <row r="30" spans="1:10" x14ac:dyDescent="0.25">
      <c r="A30" t="s">
        <v>70</v>
      </c>
      <c r="B30" t="s">
        <v>71</v>
      </c>
      <c r="C30" t="s">
        <v>70</v>
      </c>
      <c r="D30" t="s">
        <v>41</v>
      </c>
      <c r="E30" t="s">
        <v>20</v>
      </c>
      <c r="I30" t="b">
        <v>0</v>
      </c>
      <c r="J30" t="b">
        <v>0</v>
      </c>
    </row>
    <row r="31" spans="1:10" x14ac:dyDescent="0.25">
      <c r="A31" t="s">
        <v>70</v>
      </c>
      <c r="B31" t="s">
        <v>71</v>
      </c>
      <c r="C31" t="s">
        <v>70</v>
      </c>
      <c r="D31" t="s">
        <v>42</v>
      </c>
      <c r="E31" t="s">
        <v>20</v>
      </c>
      <c r="I31" t="b">
        <v>0</v>
      </c>
      <c r="J31" t="b">
        <v>0</v>
      </c>
    </row>
    <row r="32" spans="1:10" x14ac:dyDescent="0.25">
      <c r="A32" t="s">
        <v>70</v>
      </c>
      <c r="B32" t="s">
        <v>71</v>
      </c>
      <c r="C32" t="s">
        <v>70</v>
      </c>
      <c r="D32" t="s">
        <v>43</v>
      </c>
      <c r="E32" t="s">
        <v>20</v>
      </c>
      <c r="I32" t="b">
        <v>0</v>
      </c>
      <c r="J32" t="b">
        <v>0</v>
      </c>
    </row>
    <row r="33" spans="1:10" x14ac:dyDescent="0.25">
      <c r="A33" t="s">
        <v>70</v>
      </c>
      <c r="B33" t="s">
        <v>71</v>
      </c>
      <c r="C33" t="s">
        <v>70</v>
      </c>
      <c r="D33" t="s">
        <v>1058</v>
      </c>
      <c r="E33" t="s">
        <v>20</v>
      </c>
      <c r="I33" t="b">
        <v>0</v>
      </c>
      <c r="J33" t="b">
        <v>0</v>
      </c>
    </row>
    <row r="34" spans="1:10" x14ac:dyDescent="0.25">
      <c r="A34" t="s">
        <v>70</v>
      </c>
      <c r="B34" t="s">
        <v>71</v>
      </c>
      <c r="C34" t="s">
        <v>70</v>
      </c>
      <c r="D34" t="s">
        <v>44</v>
      </c>
      <c r="E34" t="s">
        <v>20</v>
      </c>
      <c r="I34" t="b">
        <v>0</v>
      </c>
      <c r="J34" t="b">
        <v>0</v>
      </c>
    </row>
    <row r="35" spans="1:10" x14ac:dyDescent="0.25">
      <c r="A35" t="s">
        <v>70</v>
      </c>
      <c r="B35" t="s">
        <v>71</v>
      </c>
      <c r="C35" t="s">
        <v>70</v>
      </c>
      <c r="D35" t="s">
        <v>45</v>
      </c>
      <c r="E35" t="s">
        <v>20</v>
      </c>
      <c r="I35" t="b">
        <v>0</v>
      </c>
      <c r="J35" t="b">
        <v>0</v>
      </c>
    </row>
    <row r="36" spans="1:10" x14ac:dyDescent="0.25">
      <c r="A36" t="s">
        <v>70</v>
      </c>
      <c r="B36" t="s">
        <v>71</v>
      </c>
      <c r="C36" t="s">
        <v>70</v>
      </c>
      <c r="D36" t="s">
        <v>46</v>
      </c>
      <c r="E36" t="s">
        <v>20</v>
      </c>
      <c r="I36" t="b">
        <v>0</v>
      </c>
      <c r="J36" t="b">
        <v>0</v>
      </c>
    </row>
    <row r="37" spans="1:10" x14ac:dyDescent="0.25">
      <c r="A37" t="s">
        <v>70</v>
      </c>
      <c r="B37" t="s">
        <v>71</v>
      </c>
      <c r="C37" t="s">
        <v>70</v>
      </c>
      <c r="D37" t="s">
        <v>47</v>
      </c>
      <c r="E37" t="s">
        <v>20</v>
      </c>
      <c r="I37" t="b">
        <v>0</v>
      </c>
      <c r="J37" t="b">
        <v>0</v>
      </c>
    </row>
    <row r="38" spans="1:10" x14ac:dyDescent="0.25">
      <c r="A38" t="s">
        <v>70</v>
      </c>
      <c r="B38" t="s">
        <v>71</v>
      </c>
      <c r="C38" t="s">
        <v>70</v>
      </c>
      <c r="D38" t="s">
        <v>48</v>
      </c>
      <c r="E38" t="s">
        <v>20</v>
      </c>
      <c r="I38" t="b">
        <v>0</v>
      </c>
      <c r="J38" t="b">
        <v>0</v>
      </c>
    </row>
    <row r="39" spans="1:10" x14ac:dyDescent="0.25">
      <c r="A39" t="s">
        <v>70</v>
      </c>
      <c r="B39" t="s">
        <v>71</v>
      </c>
      <c r="C39" t="s">
        <v>70</v>
      </c>
      <c r="D39" t="s">
        <v>49</v>
      </c>
      <c r="E39" t="s">
        <v>20</v>
      </c>
      <c r="I39" t="b">
        <v>0</v>
      </c>
      <c r="J39" t="b">
        <v>0</v>
      </c>
    </row>
    <row r="40" spans="1:10" x14ac:dyDescent="0.25">
      <c r="A40" t="s">
        <v>70</v>
      </c>
      <c r="B40" t="s">
        <v>71</v>
      </c>
      <c r="C40" t="s">
        <v>70</v>
      </c>
      <c r="D40" t="s">
        <v>50</v>
      </c>
      <c r="E40" t="s">
        <v>20</v>
      </c>
      <c r="I40" t="b">
        <v>0</v>
      </c>
      <c r="J40" t="b">
        <v>0</v>
      </c>
    </row>
    <row r="41" spans="1:10" x14ac:dyDescent="0.25">
      <c r="A41" t="s">
        <v>70</v>
      </c>
      <c r="B41" t="s">
        <v>71</v>
      </c>
      <c r="C41" t="s">
        <v>70</v>
      </c>
      <c r="D41" t="s">
        <v>51</v>
      </c>
      <c r="E41" t="s">
        <v>20</v>
      </c>
      <c r="I41" t="b">
        <v>0</v>
      </c>
      <c r="J41" t="b">
        <v>0</v>
      </c>
    </row>
    <row r="42" spans="1:10" x14ac:dyDescent="0.25">
      <c r="A42" t="s">
        <v>70</v>
      </c>
      <c r="B42" t="s">
        <v>71</v>
      </c>
      <c r="C42" t="s">
        <v>70</v>
      </c>
      <c r="D42" t="s">
        <v>52</v>
      </c>
      <c r="E42" t="s">
        <v>20</v>
      </c>
      <c r="I42" t="b">
        <v>0</v>
      </c>
      <c r="J42" t="b">
        <v>0</v>
      </c>
    </row>
    <row r="43" spans="1:10" x14ac:dyDescent="0.25">
      <c r="A43" t="s">
        <v>70</v>
      </c>
      <c r="B43" t="s">
        <v>71</v>
      </c>
      <c r="C43" t="s">
        <v>70</v>
      </c>
      <c r="D43" t="s">
        <v>53</v>
      </c>
      <c r="E43" t="s">
        <v>20</v>
      </c>
      <c r="I43" t="b">
        <v>0</v>
      </c>
      <c r="J43" t="b">
        <v>0</v>
      </c>
    </row>
    <row r="44" spans="1:10" x14ac:dyDescent="0.25">
      <c r="A44" t="s">
        <v>70</v>
      </c>
      <c r="B44" t="s">
        <v>71</v>
      </c>
      <c r="C44" t="s">
        <v>70</v>
      </c>
      <c r="D44" t="s">
        <v>54</v>
      </c>
      <c r="E44" t="s">
        <v>20</v>
      </c>
      <c r="I44" t="b">
        <v>0</v>
      </c>
      <c r="J44" t="b">
        <v>0</v>
      </c>
    </row>
    <row r="45" spans="1:10" x14ac:dyDescent="0.25">
      <c r="A45" t="s">
        <v>70</v>
      </c>
      <c r="B45" t="s">
        <v>71</v>
      </c>
      <c r="C45" t="s">
        <v>70</v>
      </c>
      <c r="D45" t="s">
        <v>55</v>
      </c>
      <c r="E45" t="s">
        <v>20</v>
      </c>
      <c r="I45" t="b">
        <v>0</v>
      </c>
      <c r="J45" t="b">
        <v>0</v>
      </c>
    </row>
    <row r="46" spans="1:10" x14ac:dyDescent="0.25">
      <c r="A46" t="s">
        <v>70</v>
      </c>
      <c r="B46" t="s">
        <v>71</v>
      </c>
      <c r="C46" t="s">
        <v>70</v>
      </c>
      <c r="D46" t="s">
        <v>56</v>
      </c>
      <c r="E46" t="s">
        <v>20</v>
      </c>
      <c r="I46" t="b">
        <v>0</v>
      </c>
      <c r="J46" t="b">
        <v>0</v>
      </c>
    </row>
    <row r="47" spans="1:10" x14ac:dyDescent="0.25">
      <c r="A47" t="s">
        <v>70</v>
      </c>
      <c r="B47" t="s">
        <v>71</v>
      </c>
      <c r="C47" t="s">
        <v>70</v>
      </c>
      <c r="D47" t="s">
        <v>57</v>
      </c>
      <c r="E47" t="s">
        <v>20</v>
      </c>
      <c r="I47" t="b">
        <v>0</v>
      </c>
      <c r="J47" t="b">
        <v>0</v>
      </c>
    </row>
    <row r="48" spans="1:10" x14ac:dyDescent="0.25">
      <c r="A48" t="s">
        <v>70</v>
      </c>
      <c r="B48" t="s">
        <v>71</v>
      </c>
      <c r="C48" t="s">
        <v>70</v>
      </c>
      <c r="D48" t="s">
        <v>58</v>
      </c>
      <c r="E48" t="s">
        <v>20</v>
      </c>
      <c r="I48" t="b">
        <v>0</v>
      </c>
      <c r="J48" t="b">
        <v>0</v>
      </c>
    </row>
    <row r="49" spans="1:11" x14ac:dyDescent="0.25">
      <c r="A49" t="s">
        <v>70</v>
      </c>
      <c r="B49" t="s">
        <v>71</v>
      </c>
      <c r="C49" t="s">
        <v>70</v>
      </c>
      <c r="D49" t="s">
        <v>59</v>
      </c>
      <c r="E49" t="s">
        <v>20</v>
      </c>
      <c r="I49" t="b">
        <v>0</v>
      </c>
      <c r="J49" t="b">
        <v>0</v>
      </c>
    </row>
    <row r="50" spans="1:11" x14ac:dyDescent="0.25">
      <c r="A50" t="s">
        <v>70</v>
      </c>
      <c r="B50" t="s">
        <v>71</v>
      </c>
      <c r="C50" t="s">
        <v>70</v>
      </c>
      <c r="D50" t="s">
        <v>60</v>
      </c>
      <c r="E50" t="s">
        <v>20</v>
      </c>
      <c r="I50" t="b">
        <v>0</v>
      </c>
      <c r="J50" t="b">
        <v>0</v>
      </c>
    </row>
    <row r="51" spans="1:11" x14ac:dyDescent="0.25">
      <c r="A51" t="s">
        <v>70</v>
      </c>
      <c r="B51" t="s">
        <v>71</v>
      </c>
      <c r="C51" t="s">
        <v>70</v>
      </c>
      <c r="D51" t="s">
        <v>61</v>
      </c>
      <c r="E51" t="s">
        <v>20</v>
      </c>
      <c r="I51" t="b">
        <v>0</v>
      </c>
      <c r="J51" t="b">
        <v>0</v>
      </c>
    </row>
    <row r="52" spans="1:11" x14ac:dyDescent="0.25">
      <c r="A52" t="s">
        <v>70</v>
      </c>
      <c r="B52" t="s">
        <v>71</v>
      </c>
      <c r="C52" t="s">
        <v>70</v>
      </c>
      <c r="D52" t="s">
        <v>62</v>
      </c>
      <c r="E52" t="s">
        <v>20</v>
      </c>
      <c r="I52" t="b">
        <v>0</v>
      </c>
      <c r="J52" t="b">
        <v>0</v>
      </c>
    </row>
    <row r="53" spans="1:11" x14ac:dyDescent="0.25">
      <c r="A53" t="s">
        <v>70</v>
      </c>
      <c r="B53" t="s">
        <v>71</v>
      </c>
      <c r="C53" t="s">
        <v>70</v>
      </c>
      <c r="D53" t="s">
        <v>63</v>
      </c>
      <c r="E53" t="s">
        <v>20</v>
      </c>
      <c r="I53" t="b">
        <v>0</v>
      </c>
      <c r="J53" t="b">
        <v>0</v>
      </c>
    </row>
    <row r="54" spans="1:11" x14ac:dyDescent="0.25">
      <c r="A54" t="s">
        <v>70</v>
      </c>
      <c r="B54" t="s">
        <v>71</v>
      </c>
      <c r="C54" t="s">
        <v>70</v>
      </c>
      <c r="D54" t="s">
        <v>64</v>
      </c>
      <c r="E54" t="s">
        <v>20</v>
      </c>
      <c r="I54" t="b">
        <v>0</v>
      </c>
      <c r="J54" t="b">
        <v>0</v>
      </c>
    </row>
    <row r="55" spans="1:11" x14ac:dyDescent="0.25">
      <c r="A55" t="s">
        <v>70</v>
      </c>
      <c r="B55" t="s">
        <v>71</v>
      </c>
      <c r="C55" t="s">
        <v>70</v>
      </c>
      <c r="D55" t="s">
        <v>65</v>
      </c>
      <c r="E55" t="s">
        <v>20</v>
      </c>
      <c r="I55" t="b">
        <v>0</v>
      </c>
      <c r="J55" t="b">
        <v>0</v>
      </c>
    </row>
    <row r="56" spans="1:11" x14ac:dyDescent="0.25">
      <c r="A56" t="s">
        <v>70</v>
      </c>
      <c r="B56" t="s">
        <v>71</v>
      </c>
      <c r="C56" t="s">
        <v>70</v>
      </c>
      <c r="D56" t="s">
        <v>66</v>
      </c>
      <c r="E56" t="s">
        <v>20</v>
      </c>
      <c r="I56" t="b">
        <v>0</v>
      </c>
      <c r="J56" t="b">
        <v>0</v>
      </c>
    </row>
    <row r="57" spans="1:11" x14ac:dyDescent="0.25">
      <c r="A57" t="s">
        <v>70</v>
      </c>
      <c r="B57" t="s">
        <v>71</v>
      </c>
      <c r="C57" t="s">
        <v>70</v>
      </c>
      <c r="D57" t="s">
        <v>67</v>
      </c>
      <c r="E57" t="s">
        <v>20</v>
      </c>
      <c r="I57" t="b">
        <v>0</v>
      </c>
      <c r="J57" t="b">
        <v>0</v>
      </c>
    </row>
    <row r="58" spans="1:11" x14ac:dyDescent="0.25">
      <c r="A58" t="s">
        <v>70</v>
      </c>
      <c r="B58" t="s">
        <v>71</v>
      </c>
      <c r="C58" t="s">
        <v>70</v>
      </c>
      <c r="D58" t="s">
        <v>68</v>
      </c>
      <c r="E58" t="s">
        <v>20</v>
      </c>
      <c r="I58" t="b">
        <v>0</v>
      </c>
      <c r="J58" t="b">
        <v>0</v>
      </c>
    </row>
    <row r="59" spans="1:11" x14ac:dyDescent="0.25">
      <c r="A59" t="s">
        <v>70</v>
      </c>
      <c r="B59" t="s">
        <v>71</v>
      </c>
      <c r="C59" t="s">
        <v>70</v>
      </c>
      <c r="D59" t="s">
        <v>69</v>
      </c>
      <c r="E59" t="s">
        <v>20</v>
      </c>
      <c r="I59" t="b">
        <v>0</v>
      </c>
      <c r="J59" t="b">
        <v>0</v>
      </c>
    </row>
    <row r="60" spans="1:11" x14ac:dyDescent="0.25">
      <c r="A60" t="s">
        <v>108</v>
      </c>
      <c r="B60" t="s">
        <v>109</v>
      </c>
      <c r="C60" t="s">
        <v>108</v>
      </c>
      <c r="D60" t="s">
        <v>110</v>
      </c>
      <c r="E60" t="s">
        <v>20</v>
      </c>
      <c r="F60" s="5"/>
      <c r="G60" s="5"/>
      <c r="H60" s="5"/>
      <c r="I60" s="5" t="b">
        <v>1</v>
      </c>
      <c r="J60" s="5" t="b">
        <v>1</v>
      </c>
      <c r="K60" s="5" t="b">
        <v>1</v>
      </c>
    </row>
    <row r="61" spans="1:11" x14ac:dyDescent="0.25">
      <c r="A61" t="s">
        <v>108</v>
      </c>
      <c r="B61" t="s">
        <v>109</v>
      </c>
      <c r="C61" t="s">
        <v>108</v>
      </c>
      <c r="D61" t="s">
        <v>106</v>
      </c>
      <c r="E61" t="s">
        <v>20</v>
      </c>
      <c r="F61" s="5"/>
      <c r="G61" s="5"/>
      <c r="H61" s="5"/>
      <c r="I61" t="b">
        <v>0</v>
      </c>
      <c r="J61" t="b">
        <v>0</v>
      </c>
    </row>
    <row r="62" spans="1:11" x14ac:dyDescent="0.25">
      <c r="A62" t="s">
        <v>108</v>
      </c>
      <c r="B62" t="s">
        <v>109</v>
      </c>
      <c r="C62" t="s">
        <v>108</v>
      </c>
      <c r="D62" t="s">
        <v>83</v>
      </c>
      <c r="E62" t="s">
        <v>17</v>
      </c>
      <c r="F62" s="5" t="s">
        <v>83</v>
      </c>
      <c r="G62" s="5"/>
      <c r="H62" s="5"/>
      <c r="I62" t="b">
        <v>0</v>
      </c>
      <c r="J62" t="b">
        <v>0</v>
      </c>
    </row>
    <row r="63" spans="1:11" x14ac:dyDescent="0.25">
      <c r="A63" t="s">
        <v>108</v>
      </c>
      <c r="B63" t="s">
        <v>109</v>
      </c>
      <c r="C63" t="s">
        <v>108</v>
      </c>
      <c r="D63" t="s">
        <v>117</v>
      </c>
      <c r="E63" t="s">
        <v>19</v>
      </c>
      <c r="F63" t="s">
        <v>85</v>
      </c>
      <c r="H63" s="5"/>
      <c r="I63" t="b">
        <v>0</v>
      </c>
      <c r="J63" t="b">
        <v>0</v>
      </c>
    </row>
    <row r="64" spans="1:11" x14ac:dyDescent="0.25">
      <c r="A64" t="s">
        <v>108</v>
      </c>
      <c r="B64" t="s">
        <v>109</v>
      </c>
      <c r="C64" t="s">
        <v>108</v>
      </c>
      <c r="D64" t="s">
        <v>111</v>
      </c>
      <c r="E64" t="s">
        <v>17</v>
      </c>
      <c r="F64" s="5" t="s">
        <v>102</v>
      </c>
      <c r="G64" s="5" t="s">
        <v>116</v>
      </c>
      <c r="H64" s="5"/>
      <c r="I64" t="b">
        <v>0</v>
      </c>
      <c r="J64" t="b">
        <v>0</v>
      </c>
    </row>
    <row r="65" spans="1:10" x14ac:dyDescent="0.25">
      <c r="A65" t="s">
        <v>108</v>
      </c>
      <c r="B65" t="s">
        <v>109</v>
      </c>
      <c r="C65" t="s">
        <v>108</v>
      </c>
      <c r="D65" t="s">
        <v>112</v>
      </c>
      <c r="E65" t="s">
        <v>20</v>
      </c>
      <c r="F65" s="5"/>
      <c r="G65" s="5"/>
      <c r="H65" s="5"/>
      <c r="I65" t="b">
        <v>0</v>
      </c>
      <c r="J65" t="b">
        <v>0</v>
      </c>
    </row>
    <row r="66" spans="1:10" x14ac:dyDescent="0.25">
      <c r="A66" t="s">
        <v>108</v>
      </c>
      <c r="B66" t="s">
        <v>109</v>
      </c>
      <c r="C66" t="s">
        <v>108</v>
      </c>
      <c r="D66" t="s">
        <v>113</v>
      </c>
      <c r="E66" t="s">
        <v>11</v>
      </c>
      <c r="F66" s="5"/>
      <c r="G66" s="5"/>
      <c r="H66" s="5"/>
      <c r="I66" t="b">
        <v>0</v>
      </c>
      <c r="J66" t="b">
        <v>0</v>
      </c>
    </row>
    <row r="67" spans="1:10" x14ac:dyDescent="0.25">
      <c r="A67" t="s">
        <v>108</v>
      </c>
      <c r="B67" t="s">
        <v>109</v>
      </c>
      <c r="C67" t="s">
        <v>108</v>
      </c>
      <c r="D67" t="s">
        <v>114</v>
      </c>
      <c r="E67" t="s">
        <v>22</v>
      </c>
      <c r="F67" s="5"/>
      <c r="G67" s="5"/>
      <c r="H67" s="5"/>
      <c r="I67" t="b">
        <v>0</v>
      </c>
      <c r="J67" t="b">
        <v>0</v>
      </c>
    </row>
    <row r="68" spans="1:10" x14ac:dyDescent="0.25">
      <c r="A68" t="s">
        <v>102</v>
      </c>
      <c r="B68" t="s">
        <v>103</v>
      </c>
      <c r="C68" t="s">
        <v>104</v>
      </c>
      <c r="D68" t="s">
        <v>105</v>
      </c>
      <c r="E68" t="s">
        <v>20</v>
      </c>
      <c r="I68" t="b">
        <v>1</v>
      </c>
      <c r="J68" t="b">
        <v>1</v>
      </c>
    </row>
    <row r="69" spans="1:10" x14ac:dyDescent="0.25">
      <c r="A69" t="s">
        <v>102</v>
      </c>
      <c r="B69" t="s">
        <v>103</v>
      </c>
      <c r="C69" t="s">
        <v>104</v>
      </c>
      <c r="D69" t="s">
        <v>106</v>
      </c>
      <c r="E69" t="s">
        <v>20</v>
      </c>
      <c r="I69" t="b">
        <v>0</v>
      </c>
      <c r="J69" t="b">
        <v>0</v>
      </c>
    </row>
    <row r="70" spans="1:10" x14ac:dyDescent="0.25">
      <c r="A70" t="s">
        <v>102</v>
      </c>
      <c r="B70" t="s">
        <v>103</v>
      </c>
      <c r="C70" t="s">
        <v>104</v>
      </c>
      <c r="D70" t="s">
        <v>85</v>
      </c>
      <c r="E70" t="s">
        <v>17</v>
      </c>
      <c r="F70" t="s">
        <v>85</v>
      </c>
      <c r="I70" t="b">
        <v>0</v>
      </c>
      <c r="J70" t="b">
        <v>0</v>
      </c>
    </row>
    <row r="71" spans="1:10" x14ac:dyDescent="0.25">
      <c r="A71" t="s">
        <v>102</v>
      </c>
      <c r="B71" t="s">
        <v>103</v>
      </c>
      <c r="C71" t="s">
        <v>104</v>
      </c>
      <c r="D71" t="s">
        <v>81</v>
      </c>
      <c r="E71" t="s">
        <v>17</v>
      </c>
      <c r="F71" t="s">
        <v>81</v>
      </c>
      <c r="I71" t="b">
        <v>0</v>
      </c>
      <c r="J71" t="b">
        <v>0</v>
      </c>
    </row>
    <row r="72" spans="1:10" x14ac:dyDescent="0.25">
      <c r="A72" t="s">
        <v>102</v>
      </c>
      <c r="B72" t="s">
        <v>103</v>
      </c>
      <c r="C72" t="s">
        <v>90</v>
      </c>
      <c r="D72" t="s">
        <v>105</v>
      </c>
      <c r="E72" t="s">
        <v>20</v>
      </c>
      <c r="I72" t="b">
        <v>1</v>
      </c>
      <c r="J72" t="b">
        <v>1</v>
      </c>
    </row>
    <row r="73" spans="1:10" x14ac:dyDescent="0.25">
      <c r="A73" t="s">
        <v>102</v>
      </c>
      <c r="B73" t="s">
        <v>103</v>
      </c>
      <c r="C73" t="s">
        <v>107</v>
      </c>
      <c r="D73" t="s">
        <v>105</v>
      </c>
      <c r="E73" t="s">
        <v>20</v>
      </c>
      <c r="I73" t="b">
        <v>1</v>
      </c>
      <c r="J73" t="b">
        <v>1</v>
      </c>
    </row>
    <row r="74" spans="1:10" x14ac:dyDescent="0.25">
      <c r="A74" t="s">
        <v>102</v>
      </c>
      <c r="B74" t="s">
        <v>103</v>
      </c>
      <c r="C74" t="s">
        <v>107</v>
      </c>
      <c r="D74" t="s">
        <v>106</v>
      </c>
      <c r="E74" t="s">
        <v>20</v>
      </c>
      <c r="I74" t="b">
        <v>0</v>
      </c>
      <c r="J74" t="b">
        <v>0</v>
      </c>
    </row>
    <row r="75" spans="1:10" x14ac:dyDescent="0.25">
      <c r="A75" t="s">
        <v>102</v>
      </c>
      <c r="B75" t="s">
        <v>103</v>
      </c>
      <c r="C75" t="s">
        <v>107</v>
      </c>
      <c r="D75" t="s">
        <v>85</v>
      </c>
      <c r="E75" t="s">
        <v>17</v>
      </c>
      <c r="F75" t="s">
        <v>85</v>
      </c>
      <c r="I75" t="b">
        <v>0</v>
      </c>
      <c r="J75" t="b">
        <v>0</v>
      </c>
    </row>
    <row r="76" spans="1:10" x14ac:dyDescent="0.25">
      <c r="A76" t="s">
        <v>102</v>
      </c>
      <c r="B76" t="s">
        <v>103</v>
      </c>
      <c r="C76" t="s">
        <v>107</v>
      </c>
      <c r="D76" t="s">
        <v>75</v>
      </c>
      <c r="E76" t="s">
        <v>17</v>
      </c>
      <c r="F76" s="5" t="s">
        <v>75</v>
      </c>
      <c r="G76" s="5"/>
      <c r="I76" t="b">
        <v>0</v>
      </c>
      <c r="J76" t="b">
        <v>0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1DDF42-68CF-4F37-BC84-D1AEA530F14D}">
          <x14:formula1>
            <xm:f>'Data Type'!$A$2:$A$13</xm:f>
          </x14:formula1>
          <xm:sqref>E5:E76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4FAE4-564D-46EB-BE84-FB27F3F14BA9}">
  <sheetPr codeName="Sheet5"/>
  <dimension ref="A1:K18"/>
  <sheetViews>
    <sheetView workbookViewId="0">
      <selection sqref="A1:XFD1048576"/>
    </sheetView>
  </sheetViews>
  <sheetFormatPr defaultRowHeight="15" x14ac:dyDescent="0.25"/>
  <cols>
    <col min="1" max="1" width="15.5703125" bestFit="1" customWidth="1"/>
    <col min="2" max="2" width="15.42578125" bestFit="1" customWidth="1"/>
    <col min="3" max="3" width="16.7109375" bestFit="1" customWidth="1"/>
    <col min="4" max="4" width="28.140625" bestFit="1" customWidth="1"/>
    <col min="5" max="5" width="22" bestFit="1" customWidth="1"/>
    <col min="6" max="6" width="31.7109375" bestFit="1" customWidth="1"/>
    <col min="7" max="7" width="36.85546875" bestFit="1" customWidth="1"/>
    <col min="8" max="8" width="10.5703125" bestFit="1" customWidth="1"/>
    <col min="9" max="9" width="27" bestFit="1" customWidth="1"/>
    <col min="10" max="10" width="16.7109375" bestFit="1" customWidth="1"/>
    <col min="11" max="11" width="31.42578125" bestFit="1" customWidth="1"/>
  </cols>
  <sheetData>
    <row r="1" spans="1:11" x14ac:dyDescent="0.25">
      <c r="A1" t="s">
        <v>1111</v>
      </c>
      <c r="B1" t="s">
        <v>1112</v>
      </c>
      <c r="C1" t="s">
        <v>1113</v>
      </c>
      <c r="D1" t="s">
        <v>1114</v>
      </c>
      <c r="E1" t="s">
        <v>1115</v>
      </c>
      <c r="F1" t="s">
        <v>1116</v>
      </c>
      <c r="G1" t="s">
        <v>1117</v>
      </c>
      <c r="H1" t="s">
        <v>1118</v>
      </c>
      <c r="I1" t="s">
        <v>1119</v>
      </c>
      <c r="J1" t="s">
        <v>1120</v>
      </c>
      <c r="K1" t="s">
        <v>1121</v>
      </c>
    </row>
    <row r="2" spans="1:11" x14ac:dyDescent="0.25">
      <c r="A2" t="s">
        <v>1122</v>
      </c>
      <c r="C2" t="s">
        <v>1123</v>
      </c>
      <c r="D2" t="s">
        <v>1124</v>
      </c>
      <c r="E2" t="s">
        <v>1125</v>
      </c>
      <c r="F2" t="str">
        <f>D2</f>
        <v>WATERLOONETWORK\gsprout</v>
      </c>
      <c r="G2" t="str">
        <f>E2</f>
        <v>Example User Group</v>
      </c>
      <c r="I2" t="str">
        <f t="shared" ref="I2:I17" si="0">C2 &amp; " -&gt; " &amp; J2</f>
        <v>Set Vendor -&gt; Review</v>
      </c>
      <c r="J2" t="s">
        <v>1126</v>
      </c>
    </row>
    <row r="3" spans="1:11" x14ac:dyDescent="0.25">
      <c r="A3" t="s">
        <v>1122</v>
      </c>
      <c r="C3" t="s">
        <v>1126</v>
      </c>
      <c r="D3" t="s">
        <v>1124</v>
      </c>
      <c r="E3" t="s">
        <v>1125</v>
      </c>
      <c r="F3" t="str">
        <f t="shared" ref="F3:G17" si="1">D3</f>
        <v>WATERLOONETWORK\gsprout</v>
      </c>
      <c r="G3" t="str">
        <f>E3</f>
        <v>Example User Group</v>
      </c>
      <c r="I3" t="str">
        <f t="shared" si="0"/>
        <v>Review -&gt; Allocate</v>
      </c>
      <c r="J3" t="s">
        <v>1127</v>
      </c>
    </row>
    <row r="4" spans="1:11" x14ac:dyDescent="0.25">
      <c r="A4" t="s">
        <v>1122</v>
      </c>
      <c r="C4" t="s">
        <v>1127</v>
      </c>
      <c r="D4" t="s">
        <v>1124</v>
      </c>
      <c r="E4" t="s">
        <v>1125</v>
      </c>
      <c r="F4" t="str">
        <f t="shared" si="1"/>
        <v>WATERLOONETWORK\gsprout</v>
      </c>
      <c r="G4" t="str">
        <f t="shared" si="1"/>
        <v>Example User Group</v>
      </c>
      <c r="I4" t="str">
        <f t="shared" si="0"/>
        <v>Allocate -&gt; Account Approval</v>
      </c>
      <c r="J4" t="s">
        <v>1128</v>
      </c>
    </row>
    <row r="5" spans="1:11" x14ac:dyDescent="0.25">
      <c r="A5" t="s">
        <v>1122</v>
      </c>
      <c r="C5" t="s">
        <v>1127</v>
      </c>
      <c r="D5" t="s">
        <v>1124</v>
      </c>
      <c r="E5" t="s">
        <v>1125</v>
      </c>
      <c r="F5" t="str">
        <f t="shared" si="1"/>
        <v>WATERLOONETWORK\gsprout</v>
      </c>
      <c r="G5" t="str">
        <f t="shared" si="1"/>
        <v>Example User Group</v>
      </c>
      <c r="I5" t="str">
        <f t="shared" si="0"/>
        <v>Allocate -&gt; Post</v>
      </c>
      <c r="J5" t="s">
        <v>1129</v>
      </c>
    </row>
    <row r="6" spans="1:11" x14ac:dyDescent="0.25">
      <c r="A6" t="s">
        <v>1122</v>
      </c>
      <c r="C6" t="s">
        <v>1127</v>
      </c>
      <c r="D6" t="s">
        <v>1124</v>
      </c>
      <c r="E6" t="s">
        <v>1125</v>
      </c>
      <c r="F6" t="str">
        <f t="shared" si="1"/>
        <v>WATERLOONETWORK\gsprout</v>
      </c>
      <c r="G6" t="str">
        <f t="shared" si="1"/>
        <v>Example User Group</v>
      </c>
      <c r="I6" t="str">
        <f t="shared" si="0"/>
        <v>Allocate -&gt; Exec Approval</v>
      </c>
      <c r="J6" t="s">
        <v>1130</v>
      </c>
    </row>
    <row r="7" spans="1:11" x14ac:dyDescent="0.25">
      <c r="A7" t="s">
        <v>1122</v>
      </c>
      <c r="C7" t="s">
        <v>1128</v>
      </c>
      <c r="D7" t="s">
        <v>1124</v>
      </c>
      <c r="E7" t="s">
        <v>1125</v>
      </c>
      <c r="F7" t="str">
        <f t="shared" si="1"/>
        <v>WATERLOONETWORK\gsprout</v>
      </c>
      <c r="G7" t="str">
        <f t="shared" si="1"/>
        <v>Example User Group</v>
      </c>
      <c r="I7" t="str">
        <f t="shared" si="0"/>
        <v>Account Approval -&gt; Post</v>
      </c>
      <c r="J7" t="s">
        <v>1129</v>
      </c>
    </row>
    <row r="8" spans="1:11" x14ac:dyDescent="0.25">
      <c r="A8" t="s">
        <v>1122</v>
      </c>
      <c r="C8" t="s">
        <v>1128</v>
      </c>
      <c r="D8" t="s">
        <v>1124</v>
      </c>
      <c r="E8" t="s">
        <v>1125</v>
      </c>
      <c r="F8" t="str">
        <f t="shared" si="1"/>
        <v>WATERLOONETWORK\gsprout</v>
      </c>
      <c r="G8" t="str">
        <f t="shared" si="1"/>
        <v>Example User Group</v>
      </c>
      <c r="I8" t="str">
        <f t="shared" si="0"/>
        <v>Account Approval -&gt; Issue</v>
      </c>
      <c r="J8" t="s">
        <v>1131</v>
      </c>
    </row>
    <row r="9" spans="1:11" x14ac:dyDescent="0.25">
      <c r="A9" t="s">
        <v>1122</v>
      </c>
      <c r="C9" t="s">
        <v>1132</v>
      </c>
      <c r="D9" t="s">
        <v>1124</v>
      </c>
      <c r="E9" t="s">
        <v>1125</v>
      </c>
      <c r="F9" t="str">
        <f t="shared" si="1"/>
        <v>WATERLOONETWORK\gsprout</v>
      </c>
      <c r="G9" t="str">
        <f t="shared" si="1"/>
        <v>Example User Group</v>
      </c>
      <c r="I9" t="str">
        <f t="shared" si="0"/>
        <v>Exec Approval  -&gt; Issue</v>
      </c>
      <c r="J9" t="s">
        <v>1131</v>
      </c>
    </row>
    <row r="10" spans="1:11" x14ac:dyDescent="0.25">
      <c r="A10" t="s">
        <v>1122</v>
      </c>
      <c r="C10" t="s">
        <v>1132</v>
      </c>
      <c r="D10" t="s">
        <v>1124</v>
      </c>
      <c r="E10" t="s">
        <v>1125</v>
      </c>
      <c r="F10" t="str">
        <f t="shared" si="1"/>
        <v>WATERLOONETWORK\gsprout</v>
      </c>
      <c r="G10" t="str">
        <f t="shared" si="1"/>
        <v>Example User Group</v>
      </c>
      <c r="I10" t="str">
        <f t="shared" si="0"/>
        <v>Exec Approval  -&gt; Post</v>
      </c>
      <c r="J10" t="s">
        <v>1129</v>
      </c>
    </row>
    <row r="11" spans="1:11" x14ac:dyDescent="0.25">
      <c r="A11" t="s">
        <v>1122</v>
      </c>
      <c r="C11" t="s">
        <v>1129</v>
      </c>
      <c r="D11" t="s">
        <v>1124</v>
      </c>
      <c r="E11" t="s">
        <v>1125</v>
      </c>
      <c r="F11" t="str">
        <f t="shared" si="1"/>
        <v>WATERLOONETWORK\gsprout</v>
      </c>
      <c r="G11" t="str">
        <f t="shared" si="1"/>
        <v>Example User Group</v>
      </c>
      <c r="I11" t="str">
        <f t="shared" si="0"/>
        <v>Post -&gt; Payment</v>
      </c>
      <c r="J11" t="s">
        <v>1133</v>
      </c>
    </row>
    <row r="12" spans="1:11" x14ac:dyDescent="0.25">
      <c r="A12" t="s">
        <v>1122</v>
      </c>
      <c r="C12" t="s">
        <v>1131</v>
      </c>
      <c r="D12" t="s">
        <v>1124</v>
      </c>
      <c r="E12" t="s">
        <v>1125</v>
      </c>
      <c r="F12" t="str">
        <f t="shared" si="1"/>
        <v>WATERLOONETWORK\gsprout</v>
      </c>
      <c r="G12" t="str">
        <f t="shared" si="1"/>
        <v>Example User Group</v>
      </c>
      <c r="I12" t="str">
        <f t="shared" si="0"/>
        <v>Issue -&gt; Rejected</v>
      </c>
      <c r="J12" t="s">
        <v>1134</v>
      </c>
    </row>
    <row r="13" spans="1:11" x14ac:dyDescent="0.25">
      <c r="A13" t="s">
        <v>1122</v>
      </c>
      <c r="C13" t="s">
        <v>1131</v>
      </c>
      <c r="D13" t="s">
        <v>1124</v>
      </c>
      <c r="E13" t="s">
        <v>1125</v>
      </c>
      <c r="F13" t="str">
        <f t="shared" si="1"/>
        <v>WATERLOONETWORK\gsprout</v>
      </c>
      <c r="G13" t="str">
        <f t="shared" si="1"/>
        <v>Example User Group</v>
      </c>
      <c r="I13" t="str">
        <f t="shared" si="0"/>
        <v>Issue -&gt; Post</v>
      </c>
      <c r="J13" t="s">
        <v>1129</v>
      </c>
    </row>
    <row r="14" spans="1:11" x14ac:dyDescent="0.25">
      <c r="A14" t="s">
        <v>1122</v>
      </c>
      <c r="C14" t="s">
        <v>1135</v>
      </c>
      <c r="D14" t="s">
        <v>1124</v>
      </c>
      <c r="E14" t="s">
        <v>1125</v>
      </c>
      <c r="F14" t="str">
        <f t="shared" si="1"/>
        <v>WATERLOONETWORK\gsprout</v>
      </c>
      <c r="G14" t="str">
        <f t="shared" si="1"/>
        <v>Example User Group</v>
      </c>
      <c r="I14" t="str">
        <f t="shared" si="0"/>
        <v>Payment  -&gt; Archive</v>
      </c>
      <c r="J14" t="s">
        <v>1136</v>
      </c>
    </row>
    <row r="15" spans="1:11" x14ac:dyDescent="0.25">
      <c r="A15" t="s">
        <v>1122</v>
      </c>
      <c r="C15" t="s">
        <v>1135</v>
      </c>
      <c r="D15" t="s">
        <v>1124</v>
      </c>
      <c r="E15" t="s">
        <v>1125</v>
      </c>
      <c r="F15" t="str">
        <f t="shared" si="1"/>
        <v>WATERLOONETWORK\gsprout</v>
      </c>
      <c r="G15" t="str">
        <f t="shared" si="1"/>
        <v>Example User Group</v>
      </c>
      <c r="I15" t="str">
        <f t="shared" si="0"/>
        <v>Payment  -&gt; Cheque</v>
      </c>
      <c r="J15" t="s">
        <v>1137</v>
      </c>
    </row>
    <row r="16" spans="1:11" x14ac:dyDescent="0.25">
      <c r="A16" t="s">
        <v>1122</v>
      </c>
      <c r="C16" t="s">
        <v>1134</v>
      </c>
      <c r="D16" t="s">
        <v>1124</v>
      </c>
      <c r="E16" t="s">
        <v>1125</v>
      </c>
      <c r="F16" t="str">
        <f t="shared" si="1"/>
        <v>WATERLOONETWORK\gsprout</v>
      </c>
      <c r="G16" t="str">
        <f t="shared" si="1"/>
        <v>Example User Group</v>
      </c>
      <c r="I16" t="str">
        <f t="shared" si="0"/>
        <v>Rejected -&gt; END</v>
      </c>
      <c r="J16" t="s">
        <v>1138</v>
      </c>
    </row>
    <row r="17" spans="1:10" x14ac:dyDescent="0.25">
      <c r="A17" t="s">
        <v>1122</v>
      </c>
      <c r="C17" t="s">
        <v>1139</v>
      </c>
      <c r="D17" t="s">
        <v>1124</v>
      </c>
      <c r="E17" t="s">
        <v>1125</v>
      </c>
      <c r="F17" t="str">
        <f t="shared" si="1"/>
        <v>WATERLOONETWORK\gsprout</v>
      </c>
      <c r="G17" t="str">
        <f t="shared" si="1"/>
        <v>Example User Group</v>
      </c>
      <c r="I17" t="str">
        <f t="shared" si="0"/>
        <v>Cheque  -&gt; END</v>
      </c>
      <c r="J17" t="s">
        <v>1138</v>
      </c>
    </row>
    <row r="18" spans="1:10" x14ac:dyDescent="0.25">
      <c r="A18" t="s">
        <v>1140</v>
      </c>
      <c r="B18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638C-1C5D-4B15-81DC-9654C970C3C9}">
  <sheetPr codeName="Sheet11"/>
  <dimension ref="A1:A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8.85546875" bestFit="1" customWidth="1"/>
  </cols>
  <sheetData>
    <row r="1" spans="1:1" x14ac:dyDescent="0.25">
      <c r="A1" s="3" t="s">
        <v>76</v>
      </c>
    </row>
    <row r="2" spans="1:1" x14ac:dyDescent="0.25">
      <c r="A2" s="2" t="s">
        <v>11</v>
      </c>
    </row>
    <row r="3" spans="1:1" x14ac:dyDescent="0.25">
      <c r="A3" s="2" t="s">
        <v>12</v>
      </c>
    </row>
    <row r="4" spans="1:1" x14ac:dyDescent="0.25">
      <c r="A4" s="2" t="s">
        <v>13</v>
      </c>
    </row>
    <row r="5" spans="1:1" x14ac:dyDescent="0.25">
      <c r="A5" s="2" t="s">
        <v>14</v>
      </c>
    </row>
    <row r="6" spans="1:1" x14ac:dyDescent="0.25">
      <c r="A6" s="2" t="s">
        <v>15</v>
      </c>
    </row>
    <row r="7" spans="1:1" x14ac:dyDescent="0.25">
      <c r="A7" s="2" t="s">
        <v>16</v>
      </c>
    </row>
    <row r="8" spans="1:1" x14ac:dyDescent="0.25">
      <c r="A8" s="2" t="s">
        <v>17</v>
      </c>
    </row>
    <row r="9" spans="1:1" x14ac:dyDescent="0.25">
      <c r="A9" s="2" t="s">
        <v>18</v>
      </c>
    </row>
    <row r="10" spans="1:1" x14ac:dyDescent="0.25">
      <c r="A10" s="2" t="s">
        <v>19</v>
      </c>
    </row>
    <row r="11" spans="1:1" x14ac:dyDescent="0.25">
      <c r="A11" s="2" t="s">
        <v>20</v>
      </c>
    </row>
    <row r="12" spans="1:1" x14ac:dyDescent="0.25">
      <c r="A12" s="2" t="s">
        <v>21</v>
      </c>
    </row>
    <row r="13" spans="1:1" x14ac:dyDescent="0.25">
      <c r="A13" s="2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3389-AF3B-4829-8977-66E1065A730F}">
  <sheetPr codeName="Sheet3"/>
  <dimension ref="A1:K12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5703125" bestFit="1" customWidth="1"/>
    <col min="2" max="2" width="78" bestFit="1" customWidth="1"/>
    <col min="3" max="3" width="17.7109375" bestFit="1" customWidth="1"/>
    <col min="4" max="4" width="18.28515625" bestFit="1" customWidth="1"/>
    <col min="5" max="5" width="81.28515625" bestFit="1" customWidth="1"/>
    <col min="6" max="6" width="47.28515625" bestFit="1" customWidth="1"/>
    <col min="7" max="7" width="18.42578125" bestFit="1" customWidth="1"/>
    <col min="8" max="8" width="13.85546875" bestFit="1" customWidth="1"/>
    <col min="9" max="9" width="19.85546875" bestFit="1" customWidth="1"/>
    <col min="10" max="10" width="40.7109375" bestFit="1" customWidth="1"/>
    <col min="11" max="11" width="9.28515625" bestFit="1" customWidth="1"/>
  </cols>
  <sheetData>
    <row r="1" spans="1:11" s="1" customFormat="1" x14ac:dyDescent="0.25">
      <c r="A1" s="1" t="s">
        <v>74</v>
      </c>
      <c r="B1" s="1" t="s">
        <v>93</v>
      </c>
      <c r="C1" s="1" t="s">
        <v>94</v>
      </c>
      <c r="D1" s="1" t="s">
        <v>95</v>
      </c>
      <c r="E1" s="1" t="s">
        <v>96</v>
      </c>
      <c r="F1" s="1" t="s">
        <v>97</v>
      </c>
      <c r="G1" s="1" t="s">
        <v>98</v>
      </c>
      <c r="H1" s="1" t="s">
        <v>99</v>
      </c>
      <c r="I1" s="1" t="s">
        <v>100</v>
      </c>
      <c r="J1" s="1" t="s">
        <v>101</v>
      </c>
      <c r="K1" s="1" t="s">
        <v>81</v>
      </c>
    </row>
    <row r="2" spans="1:11" x14ac:dyDescent="0.25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77</v>
      </c>
    </row>
    <row r="3" spans="1:11" x14ac:dyDescent="0.25">
      <c r="A3" t="s">
        <v>128</v>
      </c>
      <c r="B3" t="s">
        <v>129</v>
      </c>
      <c r="C3" t="s">
        <v>130</v>
      </c>
      <c r="D3" t="s">
        <v>131</v>
      </c>
      <c r="E3" t="s">
        <v>132</v>
      </c>
      <c r="F3" t="s">
        <v>133</v>
      </c>
      <c r="G3" t="s">
        <v>134</v>
      </c>
      <c r="H3" t="s">
        <v>125</v>
      </c>
      <c r="I3" t="s">
        <v>135</v>
      </c>
      <c r="J3" t="s">
        <v>136</v>
      </c>
      <c r="K3" t="s">
        <v>77</v>
      </c>
    </row>
    <row r="4" spans="1:11" x14ac:dyDescent="0.25">
      <c r="A4" t="s">
        <v>137</v>
      </c>
      <c r="B4" t="s">
        <v>138</v>
      </c>
      <c r="C4" t="s">
        <v>139</v>
      </c>
      <c r="D4" t="s">
        <v>140</v>
      </c>
      <c r="E4" t="s">
        <v>141</v>
      </c>
      <c r="F4" t="s">
        <v>142</v>
      </c>
      <c r="G4" t="s">
        <v>143</v>
      </c>
      <c r="H4" t="s">
        <v>125</v>
      </c>
      <c r="I4" t="s">
        <v>144</v>
      </c>
      <c r="J4" t="s">
        <v>145</v>
      </c>
      <c r="K4" t="s">
        <v>77</v>
      </c>
    </row>
    <row r="5" spans="1:11" x14ac:dyDescent="0.25">
      <c r="A5" t="s">
        <v>146</v>
      </c>
      <c r="B5" t="s">
        <v>147</v>
      </c>
      <c r="C5" t="s">
        <v>148</v>
      </c>
      <c r="D5" t="s">
        <v>149</v>
      </c>
      <c r="E5" t="s">
        <v>150</v>
      </c>
      <c r="F5" t="s">
        <v>151</v>
      </c>
      <c r="G5" t="s">
        <v>152</v>
      </c>
      <c r="H5" t="s">
        <v>125</v>
      </c>
      <c r="I5" t="s">
        <v>153</v>
      </c>
      <c r="J5" t="s">
        <v>154</v>
      </c>
      <c r="K5" t="s">
        <v>77</v>
      </c>
    </row>
    <row r="6" spans="1:11" x14ac:dyDescent="0.25">
      <c r="A6" t="s">
        <v>155</v>
      </c>
      <c r="B6" t="s">
        <v>156</v>
      </c>
      <c r="C6" t="s">
        <v>157</v>
      </c>
      <c r="D6" t="s">
        <v>158</v>
      </c>
      <c r="E6" t="s">
        <v>159</v>
      </c>
      <c r="F6" t="s">
        <v>160</v>
      </c>
      <c r="G6" t="s">
        <v>161</v>
      </c>
      <c r="H6" t="s">
        <v>125</v>
      </c>
      <c r="I6" t="s">
        <v>162</v>
      </c>
      <c r="J6" t="s">
        <v>163</v>
      </c>
      <c r="K6" t="s">
        <v>78</v>
      </c>
    </row>
    <row r="7" spans="1:11" x14ac:dyDescent="0.25">
      <c r="A7" t="s">
        <v>164</v>
      </c>
      <c r="B7" t="s">
        <v>165</v>
      </c>
      <c r="C7" t="s">
        <v>166</v>
      </c>
      <c r="D7" t="s">
        <v>167</v>
      </c>
      <c r="E7" t="s">
        <v>168</v>
      </c>
      <c r="F7" t="s">
        <v>169</v>
      </c>
      <c r="G7" t="s">
        <v>170</v>
      </c>
      <c r="H7" t="s">
        <v>125</v>
      </c>
      <c r="I7" t="s">
        <v>171</v>
      </c>
      <c r="J7" t="s">
        <v>172</v>
      </c>
      <c r="K7" t="s">
        <v>77</v>
      </c>
    </row>
    <row r="8" spans="1:11" x14ac:dyDescent="0.25">
      <c r="A8" t="s">
        <v>173</v>
      </c>
      <c r="B8" t="s">
        <v>174</v>
      </c>
      <c r="C8" t="s">
        <v>175</v>
      </c>
      <c r="D8" t="s">
        <v>176</v>
      </c>
      <c r="E8" t="s">
        <v>177</v>
      </c>
      <c r="F8" t="s">
        <v>178</v>
      </c>
      <c r="G8" t="s">
        <v>179</v>
      </c>
      <c r="H8" t="s">
        <v>125</v>
      </c>
      <c r="I8" t="s">
        <v>180</v>
      </c>
      <c r="J8" t="s">
        <v>181</v>
      </c>
      <c r="K8" t="s">
        <v>77</v>
      </c>
    </row>
    <row r="9" spans="1:11" x14ac:dyDescent="0.25">
      <c r="A9" t="s">
        <v>182</v>
      </c>
      <c r="B9" t="s">
        <v>183</v>
      </c>
      <c r="C9" t="s">
        <v>184</v>
      </c>
      <c r="D9" t="s">
        <v>185</v>
      </c>
      <c r="E9" t="s">
        <v>186</v>
      </c>
      <c r="F9" t="s">
        <v>187</v>
      </c>
      <c r="G9" t="s">
        <v>124</v>
      </c>
      <c r="H9" t="s">
        <v>125</v>
      </c>
      <c r="I9" t="s">
        <v>188</v>
      </c>
      <c r="J9" t="s">
        <v>189</v>
      </c>
      <c r="K9" t="s">
        <v>77</v>
      </c>
    </row>
    <row r="10" spans="1:11" x14ac:dyDescent="0.25">
      <c r="A10" t="s">
        <v>190</v>
      </c>
      <c r="B10" t="s">
        <v>191</v>
      </c>
      <c r="C10" t="s">
        <v>192</v>
      </c>
      <c r="D10" t="s">
        <v>193</v>
      </c>
      <c r="E10" t="s">
        <v>194</v>
      </c>
      <c r="F10" t="s">
        <v>195</v>
      </c>
      <c r="G10" t="s">
        <v>196</v>
      </c>
      <c r="H10" t="s">
        <v>125</v>
      </c>
      <c r="I10" t="s">
        <v>197</v>
      </c>
      <c r="J10" t="s">
        <v>198</v>
      </c>
      <c r="K10" t="s">
        <v>77</v>
      </c>
    </row>
    <row r="11" spans="1:11" x14ac:dyDescent="0.25">
      <c r="A11" t="s">
        <v>199</v>
      </c>
      <c r="B11" t="s">
        <v>200</v>
      </c>
      <c r="C11" t="s">
        <v>201</v>
      </c>
      <c r="D11" t="s">
        <v>202</v>
      </c>
      <c r="E11" t="s">
        <v>203</v>
      </c>
      <c r="F11" t="s">
        <v>204</v>
      </c>
      <c r="G11" t="s">
        <v>205</v>
      </c>
      <c r="H11" t="s">
        <v>125</v>
      </c>
      <c r="I11" t="s">
        <v>206</v>
      </c>
      <c r="J11" t="s">
        <v>207</v>
      </c>
      <c r="K11" t="s">
        <v>77</v>
      </c>
    </row>
    <row r="12" spans="1:11" x14ac:dyDescent="0.25">
      <c r="A12" t="s">
        <v>208</v>
      </c>
      <c r="B12" t="s">
        <v>209</v>
      </c>
      <c r="C12" t="s">
        <v>210</v>
      </c>
      <c r="D12" t="s">
        <v>211</v>
      </c>
      <c r="E12" t="s">
        <v>212</v>
      </c>
      <c r="F12" t="s">
        <v>213</v>
      </c>
      <c r="G12" t="s">
        <v>214</v>
      </c>
      <c r="H12" t="s">
        <v>125</v>
      </c>
      <c r="I12" t="s">
        <v>215</v>
      </c>
      <c r="J12" t="s">
        <v>216</v>
      </c>
      <c r="K12" t="s">
        <v>77</v>
      </c>
    </row>
    <row r="13" spans="1:11" x14ac:dyDescent="0.25">
      <c r="A13" t="s">
        <v>217</v>
      </c>
      <c r="B13" t="s">
        <v>218</v>
      </c>
      <c r="C13" t="s">
        <v>219</v>
      </c>
      <c r="D13" t="s">
        <v>220</v>
      </c>
      <c r="E13" t="s">
        <v>221</v>
      </c>
      <c r="F13" t="s">
        <v>222</v>
      </c>
      <c r="G13" t="s">
        <v>223</v>
      </c>
      <c r="H13" t="s">
        <v>125</v>
      </c>
      <c r="I13" t="s">
        <v>224</v>
      </c>
      <c r="J13" t="s">
        <v>225</v>
      </c>
      <c r="K13" t="s">
        <v>77</v>
      </c>
    </row>
    <row r="14" spans="1:11" x14ac:dyDescent="0.25">
      <c r="A14" t="s">
        <v>226</v>
      </c>
      <c r="B14" t="s">
        <v>227</v>
      </c>
      <c r="C14" t="s">
        <v>228</v>
      </c>
      <c r="D14" t="s">
        <v>229</v>
      </c>
      <c r="E14" t="s">
        <v>230</v>
      </c>
      <c r="F14" t="s">
        <v>231</v>
      </c>
      <c r="G14" t="s">
        <v>232</v>
      </c>
      <c r="H14" t="s">
        <v>125</v>
      </c>
      <c r="I14" t="s">
        <v>233</v>
      </c>
      <c r="J14" t="s">
        <v>234</v>
      </c>
      <c r="K14" t="s">
        <v>77</v>
      </c>
    </row>
    <row r="15" spans="1:11" x14ac:dyDescent="0.25">
      <c r="A15" t="s">
        <v>235</v>
      </c>
      <c r="B15" t="s">
        <v>236</v>
      </c>
      <c r="C15" t="s">
        <v>237</v>
      </c>
      <c r="D15" t="s">
        <v>238</v>
      </c>
      <c r="E15" t="s">
        <v>239</v>
      </c>
      <c r="F15" t="s">
        <v>240</v>
      </c>
      <c r="G15" t="s">
        <v>241</v>
      </c>
      <c r="H15" t="s">
        <v>125</v>
      </c>
      <c r="I15" t="s">
        <v>242</v>
      </c>
      <c r="J15" t="s">
        <v>243</v>
      </c>
      <c r="K15" t="s">
        <v>77</v>
      </c>
    </row>
    <row r="16" spans="1:11" x14ac:dyDescent="0.25">
      <c r="A16" t="s">
        <v>244</v>
      </c>
      <c r="B16" t="s">
        <v>245</v>
      </c>
      <c r="C16" t="s">
        <v>246</v>
      </c>
      <c r="D16" t="s">
        <v>247</v>
      </c>
      <c r="E16" t="s">
        <v>221</v>
      </c>
      <c r="F16" t="s">
        <v>248</v>
      </c>
      <c r="G16" t="s">
        <v>249</v>
      </c>
      <c r="H16" t="s">
        <v>125</v>
      </c>
      <c r="I16" t="s">
        <v>250</v>
      </c>
      <c r="J16" t="s">
        <v>251</v>
      </c>
      <c r="K16" t="s">
        <v>77</v>
      </c>
    </row>
    <row r="17" spans="1:11" x14ac:dyDescent="0.25">
      <c r="A17" t="s">
        <v>252</v>
      </c>
      <c r="B17" t="s">
        <v>253</v>
      </c>
      <c r="C17" t="s">
        <v>254</v>
      </c>
      <c r="D17" t="s">
        <v>255</v>
      </c>
      <c r="E17" t="s">
        <v>256</v>
      </c>
      <c r="F17" t="s">
        <v>257</v>
      </c>
      <c r="G17" t="s">
        <v>258</v>
      </c>
      <c r="H17" t="s">
        <v>125</v>
      </c>
      <c r="I17" t="s">
        <v>259</v>
      </c>
      <c r="J17" t="s">
        <v>260</v>
      </c>
      <c r="K17" t="s">
        <v>78</v>
      </c>
    </row>
    <row r="18" spans="1:11" x14ac:dyDescent="0.25">
      <c r="A18" t="s">
        <v>261</v>
      </c>
      <c r="B18" t="s">
        <v>262</v>
      </c>
      <c r="C18" t="s">
        <v>263</v>
      </c>
      <c r="D18" t="s">
        <v>264</v>
      </c>
      <c r="E18" t="s">
        <v>122</v>
      </c>
      <c r="F18" t="s">
        <v>265</v>
      </c>
      <c r="G18" t="s">
        <v>266</v>
      </c>
      <c r="H18" t="s">
        <v>125</v>
      </c>
      <c r="I18" t="s">
        <v>267</v>
      </c>
      <c r="J18" t="s">
        <v>268</v>
      </c>
      <c r="K18" t="s">
        <v>77</v>
      </c>
    </row>
    <row r="19" spans="1:11" x14ac:dyDescent="0.25">
      <c r="A19" t="s">
        <v>269</v>
      </c>
      <c r="B19" t="s">
        <v>270</v>
      </c>
      <c r="C19" t="s">
        <v>271</v>
      </c>
      <c r="D19" t="s">
        <v>272</v>
      </c>
      <c r="E19" t="s">
        <v>221</v>
      </c>
      <c r="F19" t="s">
        <v>273</v>
      </c>
      <c r="G19" t="s">
        <v>274</v>
      </c>
      <c r="H19" t="s">
        <v>125</v>
      </c>
      <c r="I19" t="s">
        <v>275</v>
      </c>
      <c r="J19" t="s">
        <v>276</v>
      </c>
      <c r="K19" t="s">
        <v>77</v>
      </c>
    </row>
    <row r="20" spans="1:11" x14ac:dyDescent="0.25">
      <c r="A20" t="s">
        <v>277</v>
      </c>
      <c r="B20" t="s">
        <v>278</v>
      </c>
      <c r="C20" t="s">
        <v>279</v>
      </c>
      <c r="D20" t="s">
        <v>280</v>
      </c>
      <c r="E20" t="s">
        <v>221</v>
      </c>
      <c r="F20" t="s">
        <v>281</v>
      </c>
      <c r="G20" t="s">
        <v>282</v>
      </c>
      <c r="H20" t="s">
        <v>125</v>
      </c>
      <c r="I20" t="s">
        <v>283</v>
      </c>
      <c r="J20" t="s">
        <v>284</v>
      </c>
      <c r="K20" t="s">
        <v>77</v>
      </c>
    </row>
    <row r="21" spans="1:11" x14ac:dyDescent="0.25">
      <c r="A21" t="s">
        <v>285</v>
      </c>
      <c r="B21" t="s">
        <v>286</v>
      </c>
      <c r="C21" t="s">
        <v>287</v>
      </c>
      <c r="D21" t="s">
        <v>288</v>
      </c>
      <c r="E21" t="s">
        <v>221</v>
      </c>
      <c r="F21" t="s">
        <v>289</v>
      </c>
      <c r="G21" t="s">
        <v>290</v>
      </c>
      <c r="H21" t="s">
        <v>125</v>
      </c>
      <c r="I21" t="s">
        <v>291</v>
      </c>
      <c r="J21" t="s">
        <v>292</v>
      </c>
      <c r="K21" t="s">
        <v>77</v>
      </c>
    </row>
    <row r="22" spans="1:11" x14ac:dyDescent="0.25">
      <c r="A22" t="s">
        <v>293</v>
      </c>
      <c r="B22" t="s">
        <v>294</v>
      </c>
      <c r="C22" t="s">
        <v>295</v>
      </c>
      <c r="D22" t="s">
        <v>296</v>
      </c>
      <c r="E22" t="s">
        <v>221</v>
      </c>
      <c r="F22" t="s">
        <v>297</v>
      </c>
      <c r="G22" t="s">
        <v>298</v>
      </c>
      <c r="H22" t="s">
        <v>125</v>
      </c>
      <c r="I22" t="s">
        <v>299</v>
      </c>
      <c r="J22" t="s">
        <v>300</v>
      </c>
      <c r="K22" t="s">
        <v>77</v>
      </c>
    </row>
    <row r="23" spans="1:11" x14ac:dyDescent="0.25">
      <c r="A23" t="s">
        <v>301</v>
      </c>
      <c r="B23" t="s">
        <v>302</v>
      </c>
      <c r="C23" t="s">
        <v>157</v>
      </c>
      <c r="D23" t="s">
        <v>303</v>
      </c>
      <c r="E23" t="s">
        <v>221</v>
      </c>
      <c r="F23" t="s">
        <v>304</v>
      </c>
      <c r="G23" t="s">
        <v>305</v>
      </c>
      <c r="H23" t="s">
        <v>125</v>
      </c>
      <c r="I23" t="s">
        <v>306</v>
      </c>
      <c r="J23" t="s">
        <v>307</v>
      </c>
      <c r="K23" t="s">
        <v>77</v>
      </c>
    </row>
    <row r="24" spans="1:11" x14ac:dyDescent="0.25">
      <c r="A24" t="s">
        <v>308</v>
      </c>
      <c r="B24" t="s">
        <v>309</v>
      </c>
      <c r="C24" t="s">
        <v>310</v>
      </c>
      <c r="D24" t="s">
        <v>311</v>
      </c>
      <c r="E24" t="s">
        <v>312</v>
      </c>
      <c r="F24" t="s">
        <v>313</v>
      </c>
      <c r="G24" t="s">
        <v>314</v>
      </c>
      <c r="H24" t="s">
        <v>125</v>
      </c>
      <c r="I24" t="s">
        <v>315</v>
      </c>
      <c r="J24" t="s">
        <v>316</v>
      </c>
      <c r="K24" t="s">
        <v>77</v>
      </c>
    </row>
    <row r="25" spans="1:11" x14ac:dyDescent="0.25">
      <c r="A25" t="s">
        <v>317</v>
      </c>
      <c r="B25" t="s">
        <v>318</v>
      </c>
      <c r="C25" t="s">
        <v>319</v>
      </c>
      <c r="D25" t="s">
        <v>320</v>
      </c>
      <c r="E25" t="s">
        <v>321</v>
      </c>
      <c r="F25" t="s">
        <v>322</v>
      </c>
      <c r="G25" t="s">
        <v>323</v>
      </c>
      <c r="H25" t="s">
        <v>125</v>
      </c>
      <c r="I25" t="s">
        <v>324</v>
      </c>
      <c r="J25" t="s">
        <v>325</v>
      </c>
      <c r="K25" t="s">
        <v>78</v>
      </c>
    </row>
    <row r="26" spans="1:11" x14ac:dyDescent="0.25">
      <c r="A26" t="s">
        <v>326</v>
      </c>
      <c r="B26" t="s">
        <v>327</v>
      </c>
      <c r="C26" t="s">
        <v>328</v>
      </c>
      <c r="D26" t="s">
        <v>329</v>
      </c>
      <c r="E26" t="s">
        <v>330</v>
      </c>
      <c r="F26" t="s">
        <v>331</v>
      </c>
      <c r="G26" t="s">
        <v>332</v>
      </c>
      <c r="H26" t="s">
        <v>125</v>
      </c>
      <c r="I26" t="s">
        <v>333</v>
      </c>
      <c r="J26" t="s">
        <v>334</v>
      </c>
      <c r="K26" t="s">
        <v>78</v>
      </c>
    </row>
    <row r="27" spans="1:11" x14ac:dyDescent="0.25">
      <c r="A27" t="s">
        <v>335</v>
      </c>
      <c r="B27" t="s">
        <v>336</v>
      </c>
      <c r="C27" t="s">
        <v>337</v>
      </c>
      <c r="D27" t="s">
        <v>338</v>
      </c>
      <c r="E27" t="s">
        <v>339</v>
      </c>
      <c r="F27" t="s">
        <v>340</v>
      </c>
      <c r="G27" t="s">
        <v>341</v>
      </c>
      <c r="H27" t="s">
        <v>125</v>
      </c>
      <c r="I27" t="s">
        <v>342</v>
      </c>
      <c r="J27" t="s">
        <v>343</v>
      </c>
      <c r="K27" t="s">
        <v>77</v>
      </c>
    </row>
    <row r="28" spans="1:11" x14ac:dyDescent="0.25">
      <c r="A28" t="s">
        <v>344</v>
      </c>
      <c r="B28" t="s">
        <v>345</v>
      </c>
      <c r="C28" t="s">
        <v>166</v>
      </c>
      <c r="D28" t="s">
        <v>346</v>
      </c>
      <c r="E28" t="s">
        <v>347</v>
      </c>
      <c r="F28" t="s">
        <v>348</v>
      </c>
      <c r="G28" t="s">
        <v>349</v>
      </c>
      <c r="H28" t="s">
        <v>125</v>
      </c>
      <c r="I28" t="s">
        <v>350</v>
      </c>
      <c r="J28" t="s">
        <v>351</v>
      </c>
      <c r="K28" t="s">
        <v>77</v>
      </c>
    </row>
    <row r="29" spans="1:11" x14ac:dyDescent="0.25">
      <c r="A29" t="s">
        <v>352</v>
      </c>
      <c r="B29" t="s">
        <v>353</v>
      </c>
      <c r="C29" t="s">
        <v>354</v>
      </c>
      <c r="D29" t="s">
        <v>355</v>
      </c>
      <c r="E29" t="s">
        <v>356</v>
      </c>
      <c r="F29" t="s">
        <v>357</v>
      </c>
      <c r="G29" t="s">
        <v>358</v>
      </c>
      <c r="H29" t="s">
        <v>125</v>
      </c>
      <c r="I29" t="s">
        <v>359</v>
      </c>
      <c r="J29" t="s">
        <v>360</v>
      </c>
      <c r="K29" t="s">
        <v>77</v>
      </c>
    </row>
    <row r="30" spans="1:11" x14ac:dyDescent="0.25">
      <c r="A30" t="s">
        <v>361</v>
      </c>
      <c r="B30" t="s">
        <v>362</v>
      </c>
      <c r="C30" t="s">
        <v>246</v>
      </c>
      <c r="D30" t="s">
        <v>363</v>
      </c>
      <c r="E30" t="s">
        <v>312</v>
      </c>
      <c r="F30" t="s">
        <v>364</v>
      </c>
      <c r="G30" t="s">
        <v>365</v>
      </c>
      <c r="H30" t="s">
        <v>125</v>
      </c>
      <c r="I30" t="s">
        <v>366</v>
      </c>
      <c r="J30" t="s">
        <v>367</v>
      </c>
      <c r="K30" t="s">
        <v>77</v>
      </c>
    </row>
    <row r="31" spans="1:11" x14ac:dyDescent="0.25">
      <c r="A31" t="s">
        <v>368</v>
      </c>
      <c r="B31" t="s">
        <v>369</v>
      </c>
      <c r="C31" t="s">
        <v>370</v>
      </c>
      <c r="D31" t="s">
        <v>371</v>
      </c>
      <c r="E31" t="s">
        <v>372</v>
      </c>
      <c r="F31" t="s">
        <v>373</v>
      </c>
      <c r="G31" t="s">
        <v>374</v>
      </c>
      <c r="H31" t="s">
        <v>125</v>
      </c>
      <c r="I31" t="s">
        <v>375</v>
      </c>
      <c r="J31" t="s">
        <v>376</v>
      </c>
      <c r="K31" t="s">
        <v>77</v>
      </c>
    </row>
    <row r="32" spans="1:11" x14ac:dyDescent="0.25">
      <c r="A32" t="s">
        <v>377</v>
      </c>
      <c r="B32" t="s">
        <v>378</v>
      </c>
      <c r="C32" t="s">
        <v>379</v>
      </c>
      <c r="D32" t="s">
        <v>380</v>
      </c>
      <c r="E32" t="s">
        <v>381</v>
      </c>
      <c r="F32" t="s">
        <v>382</v>
      </c>
      <c r="G32" t="s">
        <v>323</v>
      </c>
      <c r="H32" t="s">
        <v>125</v>
      </c>
      <c r="I32" t="s">
        <v>383</v>
      </c>
      <c r="J32" t="s">
        <v>384</v>
      </c>
      <c r="K32" t="s">
        <v>78</v>
      </c>
    </row>
    <row r="33" spans="1:11" x14ac:dyDescent="0.25">
      <c r="A33" t="s">
        <v>385</v>
      </c>
      <c r="B33" t="s">
        <v>386</v>
      </c>
      <c r="C33" t="s">
        <v>387</v>
      </c>
      <c r="D33" t="s">
        <v>288</v>
      </c>
      <c r="E33" t="s">
        <v>221</v>
      </c>
      <c r="F33" t="s">
        <v>388</v>
      </c>
      <c r="G33" t="s">
        <v>389</v>
      </c>
      <c r="H33" t="s">
        <v>125</v>
      </c>
      <c r="I33" t="s">
        <v>390</v>
      </c>
      <c r="J33" t="s">
        <v>391</v>
      </c>
      <c r="K33" t="s">
        <v>77</v>
      </c>
    </row>
    <row r="34" spans="1:11" x14ac:dyDescent="0.25">
      <c r="A34" t="s">
        <v>392</v>
      </c>
      <c r="B34" t="s">
        <v>393</v>
      </c>
      <c r="C34" t="s">
        <v>394</v>
      </c>
      <c r="D34" t="s">
        <v>395</v>
      </c>
      <c r="E34" t="s">
        <v>221</v>
      </c>
      <c r="F34" t="s">
        <v>396</v>
      </c>
      <c r="G34" t="s">
        <v>397</v>
      </c>
      <c r="H34" t="s">
        <v>125</v>
      </c>
      <c r="I34" t="s">
        <v>398</v>
      </c>
      <c r="J34" t="s">
        <v>399</v>
      </c>
      <c r="K34" t="s">
        <v>77</v>
      </c>
    </row>
    <row r="35" spans="1:11" x14ac:dyDescent="0.25">
      <c r="A35" t="s">
        <v>400</v>
      </c>
      <c r="B35" t="s">
        <v>401</v>
      </c>
      <c r="C35" t="s">
        <v>402</v>
      </c>
      <c r="D35" t="s">
        <v>403</v>
      </c>
      <c r="E35" t="s">
        <v>221</v>
      </c>
      <c r="F35" t="s">
        <v>404</v>
      </c>
      <c r="G35" t="s">
        <v>405</v>
      </c>
      <c r="H35" t="s">
        <v>125</v>
      </c>
      <c r="I35" t="s">
        <v>406</v>
      </c>
      <c r="J35" t="s">
        <v>407</v>
      </c>
      <c r="K35" t="s">
        <v>77</v>
      </c>
    </row>
    <row r="36" spans="1:11" x14ac:dyDescent="0.25">
      <c r="A36" t="s">
        <v>408</v>
      </c>
      <c r="B36" t="s">
        <v>409</v>
      </c>
      <c r="C36" t="s">
        <v>410</v>
      </c>
      <c r="D36" t="s">
        <v>411</v>
      </c>
      <c r="E36" t="s">
        <v>412</v>
      </c>
      <c r="F36" t="s">
        <v>413</v>
      </c>
      <c r="G36" t="s">
        <v>124</v>
      </c>
      <c r="H36" t="s">
        <v>125</v>
      </c>
      <c r="I36" t="s">
        <v>414</v>
      </c>
      <c r="J36" t="s">
        <v>415</v>
      </c>
      <c r="K36" t="s">
        <v>77</v>
      </c>
    </row>
    <row r="37" spans="1:11" x14ac:dyDescent="0.25">
      <c r="A37" t="s">
        <v>416</v>
      </c>
      <c r="B37" t="s">
        <v>417</v>
      </c>
      <c r="C37" t="s">
        <v>418</v>
      </c>
      <c r="D37" t="s">
        <v>202</v>
      </c>
      <c r="E37" t="s">
        <v>339</v>
      </c>
      <c r="F37" t="s">
        <v>419</v>
      </c>
      <c r="G37" t="s">
        <v>420</v>
      </c>
      <c r="H37" t="s">
        <v>125</v>
      </c>
      <c r="I37" t="s">
        <v>421</v>
      </c>
      <c r="J37" t="s">
        <v>422</v>
      </c>
      <c r="K37" t="s">
        <v>77</v>
      </c>
    </row>
    <row r="38" spans="1:11" x14ac:dyDescent="0.25">
      <c r="A38" t="s">
        <v>423</v>
      </c>
      <c r="B38" t="s">
        <v>424</v>
      </c>
      <c r="C38" t="s">
        <v>425</v>
      </c>
      <c r="D38" t="s">
        <v>426</v>
      </c>
      <c r="E38" t="s">
        <v>427</v>
      </c>
      <c r="F38" t="s">
        <v>428</v>
      </c>
      <c r="G38" t="s">
        <v>429</v>
      </c>
      <c r="H38" t="s">
        <v>125</v>
      </c>
      <c r="I38" t="s">
        <v>342</v>
      </c>
      <c r="J38" t="s">
        <v>430</v>
      </c>
      <c r="K38" t="s">
        <v>77</v>
      </c>
    </row>
    <row r="39" spans="1:11" x14ac:dyDescent="0.25">
      <c r="A39" t="s">
        <v>431</v>
      </c>
      <c r="B39" t="s">
        <v>432</v>
      </c>
      <c r="C39" t="s">
        <v>433</v>
      </c>
      <c r="D39" t="s">
        <v>434</v>
      </c>
      <c r="E39" t="s">
        <v>221</v>
      </c>
      <c r="F39" t="s">
        <v>435</v>
      </c>
      <c r="G39" t="s">
        <v>436</v>
      </c>
      <c r="H39" t="s">
        <v>125</v>
      </c>
      <c r="I39" t="s">
        <v>437</v>
      </c>
      <c r="J39" t="s">
        <v>438</v>
      </c>
      <c r="K39" t="s">
        <v>77</v>
      </c>
    </row>
    <row r="40" spans="1:11" x14ac:dyDescent="0.25">
      <c r="A40" t="s">
        <v>439</v>
      </c>
      <c r="B40" t="s">
        <v>440</v>
      </c>
      <c r="C40" t="s">
        <v>441</v>
      </c>
      <c r="D40" t="s">
        <v>237</v>
      </c>
      <c r="E40" t="s">
        <v>442</v>
      </c>
      <c r="F40" t="s">
        <v>443</v>
      </c>
      <c r="G40" t="s">
        <v>258</v>
      </c>
      <c r="H40" t="s">
        <v>125</v>
      </c>
      <c r="I40" t="s">
        <v>444</v>
      </c>
      <c r="J40" t="s">
        <v>445</v>
      </c>
      <c r="K40" t="s">
        <v>78</v>
      </c>
    </row>
    <row r="41" spans="1:11" x14ac:dyDescent="0.25">
      <c r="A41" t="s">
        <v>446</v>
      </c>
      <c r="B41" t="s">
        <v>447</v>
      </c>
      <c r="C41" t="s">
        <v>448</v>
      </c>
      <c r="D41" t="s">
        <v>449</v>
      </c>
      <c r="E41" t="s">
        <v>122</v>
      </c>
      <c r="F41" t="s">
        <v>450</v>
      </c>
      <c r="G41" t="s">
        <v>124</v>
      </c>
      <c r="H41" t="s">
        <v>125</v>
      </c>
      <c r="I41" t="s">
        <v>451</v>
      </c>
      <c r="J41" t="s">
        <v>452</v>
      </c>
      <c r="K41" t="s">
        <v>78</v>
      </c>
    </row>
    <row r="42" spans="1:11" x14ac:dyDescent="0.25">
      <c r="A42" t="s">
        <v>453</v>
      </c>
      <c r="B42" t="s">
        <v>454</v>
      </c>
      <c r="C42" t="s">
        <v>455</v>
      </c>
      <c r="D42" t="s">
        <v>456</v>
      </c>
      <c r="E42" t="s">
        <v>457</v>
      </c>
      <c r="F42" t="s">
        <v>458</v>
      </c>
      <c r="G42" t="s">
        <v>459</v>
      </c>
      <c r="H42" t="s">
        <v>125</v>
      </c>
      <c r="I42" t="s">
        <v>460</v>
      </c>
      <c r="J42" t="s">
        <v>461</v>
      </c>
      <c r="K42" t="s">
        <v>77</v>
      </c>
    </row>
    <row r="43" spans="1:11" x14ac:dyDescent="0.25">
      <c r="A43" t="s">
        <v>462</v>
      </c>
      <c r="B43" t="s">
        <v>463</v>
      </c>
      <c r="C43" t="s">
        <v>464</v>
      </c>
      <c r="D43" t="s">
        <v>465</v>
      </c>
      <c r="E43" t="s">
        <v>466</v>
      </c>
      <c r="F43" t="s">
        <v>467</v>
      </c>
      <c r="G43" t="s">
        <v>468</v>
      </c>
      <c r="H43" t="s">
        <v>125</v>
      </c>
      <c r="I43" t="s">
        <v>469</v>
      </c>
      <c r="J43" t="s">
        <v>470</v>
      </c>
      <c r="K43" t="s">
        <v>77</v>
      </c>
    </row>
    <row r="44" spans="1:11" x14ac:dyDescent="0.25">
      <c r="A44" t="s">
        <v>471</v>
      </c>
      <c r="B44" t="s">
        <v>472</v>
      </c>
      <c r="C44" t="s">
        <v>473</v>
      </c>
      <c r="D44" t="s">
        <v>474</v>
      </c>
      <c r="E44" t="s">
        <v>466</v>
      </c>
      <c r="F44" t="s">
        <v>187</v>
      </c>
      <c r="G44" t="s">
        <v>475</v>
      </c>
      <c r="H44" t="s">
        <v>125</v>
      </c>
      <c r="I44" t="s">
        <v>188</v>
      </c>
      <c r="J44" t="s">
        <v>476</v>
      </c>
      <c r="K44" t="s">
        <v>77</v>
      </c>
    </row>
    <row r="45" spans="1:11" x14ac:dyDescent="0.25">
      <c r="A45" t="s">
        <v>477</v>
      </c>
      <c r="B45" t="s">
        <v>478</v>
      </c>
      <c r="C45" t="s">
        <v>479</v>
      </c>
      <c r="D45" t="s">
        <v>480</v>
      </c>
      <c r="E45" t="s">
        <v>466</v>
      </c>
      <c r="F45" t="s">
        <v>481</v>
      </c>
      <c r="G45" t="s">
        <v>482</v>
      </c>
      <c r="H45" t="s">
        <v>125</v>
      </c>
      <c r="I45" t="s">
        <v>483</v>
      </c>
      <c r="J45" t="s">
        <v>484</v>
      </c>
      <c r="K45" t="s">
        <v>77</v>
      </c>
    </row>
    <row r="46" spans="1:11" x14ac:dyDescent="0.25">
      <c r="A46" t="s">
        <v>485</v>
      </c>
      <c r="B46" t="s">
        <v>486</v>
      </c>
      <c r="C46" t="s">
        <v>370</v>
      </c>
      <c r="D46" t="s">
        <v>487</v>
      </c>
      <c r="E46" t="s">
        <v>466</v>
      </c>
      <c r="F46" t="s">
        <v>488</v>
      </c>
      <c r="G46" t="s">
        <v>489</v>
      </c>
      <c r="H46" t="s">
        <v>125</v>
      </c>
      <c r="I46" t="s">
        <v>490</v>
      </c>
      <c r="J46" t="s">
        <v>491</v>
      </c>
      <c r="K46" t="s">
        <v>77</v>
      </c>
    </row>
    <row r="47" spans="1:11" x14ac:dyDescent="0.25">
      <c r="A47" t="s">
        <v>492</v>
      </c>
      <c r="B47" t="s">
        <v>493</v>
      </c>
      <c r="C47" t="s">
        <v>494</v>
      </c>
      <c r="D47" t="s">
        <v>495</v>
      </c>
      <c r="E47" t="s">
        <v>466</v>
      </c>
      <c r="F47" t="s">
        <v>419</v>
      </c>
      <c r="G47" t="s">
        <v>496</v>
      </c>
      <c r="H47" t="s">
        <v>125</v>
      </c>
      <c r="I47" t="s">
        <v>497</v>
      </c>
      <c r="J47" t="s">
        <v>498</v>
      </c>
      <c r="K47" t="s">
        <v>77</v>
      </c>
    </row>
    <row r="48" spans="1:11" x14ac:dyDescent="0.25">
      <c r="A48" t="s">
        <v>499</v>
      </c>
      <c r="B48" t="s">
        <v>500</v>
      </c>
      <c r="C48" t="s">
        <v>501</v>
      </c>
      <c r="D48" t="s">
        <v>502</v>
      </c>
      <c r="E48" t="s">
        <v>466</v>
      </c>
      <c r="F48" t="s">
        <v>503</v>
      </c>
      <c r="G48" t="s">
        <v>504</v>
      </c>
      <c r="H48" t="s">
        <v>125</v>
      </c>
      <c r="I48" t="s">
        <v>505</v>
      </c>
      <c r="J48" t="s">
        <v>506</v>
      </c>
      <c r="K48" t="s">
        <v>77</v>
      </c>
    </row>
    <row r="49" spans="1:11" x14ac:dyDescent="0.25">
      <c r="A49" t="s">
        <v>507</v>
      </c>
      <c r="B49" t="s">
        <v>508</v>
      </c>
      <c r="C49" t="s">
        <v>410</v>
      </c>
      <c r="D49" t="s">
        <v>509</v>
      </c>
      <c r="E49" t="s">
        <v>466</v>
      </c>
      <c r="F49" t="s">
        <v>510</v>
      </c>
      <c r="G49" t="s">
        <v>511</v>
      </c>
      <c r="H49" t="s">
        <v>125</v>
      </c>
      <c r="I49" t="s">
        <v>350</v>
      </c>
      <c r="J49" t="s">
        <v>512</v>
      </c>
      <c r="K49" t="s">
        <v>77</v>
      </c>
    </row>
    <row r="50" spans="1:11" x14ac:dyDescent="0.25">
      <c r="A50" t="s">
        <v>513</v>
      </c>
      <c r="B50" t="s">
        <v>514</v>
      </c>
      <c r="C50" t="s">
        <v>515</v>
      </c>
      <c r="D50" t="s">
        <v>516</v>
      </c>
      <c r="E50" t="s">
        <v>517</v>
      </c>
      <c r="F50" t="s">
        <v>518</v>
      </c>
      <c r="G50" t="s">
        <v>519</v>
      </c>
      <c r="H50" t="s">
        <v>125</v>
      </c>
      <c r="I50" t="s">
        <v>520</v>
      </c>
      <c r="J50" t="s">
        <v>521</v>
      </c>
      <c r="K50" t="s">
        <v>77</v>
      </c>
    </row>
    <row r="51" spans="1:11" x14ac:dyDescent="0.25">
      <c r="A51" t="s">
        <v>522</v>
      </c>
      <c r="B51" t="s">
        <v>523</v>
      </c>
      <c r="C51" t="s">
        <v>524</v>
      </c>
      <c r="D51" t="s">
        <v>525</v>
      </c>
      <c r="E51" t="s">
        <v>526</v>
      </c>
      <c r="F51" t="s">
        <v>527</v>
      </c>
      <c r="G51" t="s">
        <v>528</v>
      </c>
      <c r="H51" t="s">
        <v>125</v>
      </c>
      <c r="I51" t="s">
        <v>291</v>
      </c>
      <c r="J51" t="s">
        <v>529</v>
      </c>
      <c r="K51" t="s">
        <v>77</v>
      </c>
    </row>
    <row r="52" spans="1:11" x14ac:dyDescent="0.25">
      <c r="A52" t="s">
        <v>530</v>
      </c>
      <c r="B52" t="s">
        <v>531</v>
      </c>
      <c r="C52" t="s">
        <v>201</v>
      </c>
      <c r="D52" t="s">
        <v>202</v>
      </c>
      <c r="E52" t="s">
        <v>203</v>
      </c>
      <c r="F52" t="s">
        <v>532</v>
      </c>
      <c r="G52" t="s">
        <v>533</v>
      </c>
      <c r="H52" t="s">
        <v>125</v>
      </c>
      <c r="I52" t="s">
        <v>206</v>
      </c>
      <c r="J52" t="s">
        <v>207</v>
      </c>
      <c r="K52" t="s">
        <v>77</v>
      </c>
    </row>
    <row r="53" spans="1:11" x14ac:dyDescent="0.25">
      <c r="A53" t="s">
        <v>534</v>
      </c>
      <c r="B53" t="s">
        <v>535</v>
      </c>
      <c r="C53" t="s">
        <v>536</v>
      </c>
      <c r="D53" t="s">
        <v>537</v>
      </c>
      <c r="E53" t="s">
        <v>538</v>
      </c>
      <c r="F53" t="s">
        <v>539</v>
      </c>
      <c r="G53" t="s">
        <v>540</v>
      </c>
      <c r="H53" t="s">
        <v>125</v>
      </c>
      <c r="I53" t="s">
        <v>541</v>
      </c>
      <c r="J53" t="s">
        <v>542</v>
      </c>
      <c r="K53" t="s">
        <v>77</v>
      </c>
    </row>
    <row r="54" spans="1:11" x14ac:dyDescent="0.25">
      <c r="A54" t="s">
        <v>543</v>
      </c>
      <c r="B54" t="s">
        <v>544</v>
      </c>
      <c r="C54" t="s">
        <v>545</v>
      </c>
      <c r="D54" t="s">
        <v>546</v>
      </c>
      <c r="E54" t="s">
        <v>547</v>
      </c>
      <c r="F54" t="s">
        <v>548</v>
      </c>
      <c r="G54" t="s">
        <v>549</v>
      </c>
      <c r="H54" t="s">
        <v>125</v>
      </c>
      <c r="I54" t="s">
        <v>550</v>
      </c>
      <c r="J54" t="s">
        <v>551</v>
      </c>
      <c r="K54" t="s">
        <v>77</v>
      </c>
    </row>
    <row r="55" spans="1:11" x14ac:dyDescent="0.25">
      <c r="A55" t="s">
        <v>552</v>
      </c>
      <c r="B55" t="s">
        <v>553</v>
      </c>
      <c r="C55" t="s">
        <v>192</v>
      </c>
      <c r="D55" t="s">
        <v>193</v>
      </c>
      <c r="E55" t="s">
        <v>194</v>
      </c>
      <c r="F55" t="s">
        <v>195</v>
      </c>
      <c r="G55" t="s">
        <v>196</v>
      </c>
      <c r="H55" t="s">
        <v>125</v>
      </c>
      <c r="I55" t="s">
        <v>197</v>
      </c>
      <c r="J55" t="s">
        <v>198</v>
      </c>
      <c r="K55" t="s">
        <v>77</v>
      </c>
    </row>
    <row r="56" spans="1:11" x14ac:dyDescent="0.25">
      <c r="A56" t="s">
        <v>554</v>
      </c>
      <c r="B56" t="s">
        <v>555</v>
      </c>
      <c r="C56" t="s">
        <v>556</v>
      </c>
      <c r="D56" t="s">
        <v>557</v>
      </c>
      <c r="E56" t="s">
        <v>558</v>
      </c>
      <c r="F56" t="s">
        <v>559</v>
      </c>
      <c r="G56" t="s">
        <v>560</v>
      </c>
      <c r="H56" t="s">
        <v>125</v>
      </c>
      <c r="I56" t="s">
        <v>561</v>
      </c>
      <c r="J56" t="s">
        <v>562</v>
      </c>
      <c r="K56" t="s">
        <v>77</v>
      </c>
    </row>
    <row r="57" spans="1:11" x14ac:dyDescent="0.25">
      <c r="A57" t="s">
        <v>563</v>
      </c>
      <c r="B57" t="s">
        <v>564</v>
      </c>
      <c r="C57" t="s">
        <v>565</v>
      </c>
      <c r="D57" t="s">
        <v>566</v>
      </c>
      <c r="E57" t="s">
        <v>466</v>
      </c>
      <c r="F57" t="s">
        <v>567</v>
      </c>
      <c r="G57" t="s">
        <v>568</v>
      </c>
      <c r="H57" t="s">
        <v>125</v>
      </c>
      <c r="I57" t="s">
        <v>569</v>
      </c>
      <c r="J57" t="s">
        <v>570</v>
      </c>
      <c r="K57" t="s">
        <v>77</v>
      </c>
    </row>
    <row r="58" spans="1:11" x14ac:dyDescent="0.25">
      <c r="A58" t="s">
        <v>571</v>
      </c>
      <c r="B58" t="s">
        <v>572</v>
      </c>
      <c r="C58" t="s">
        <v>219</v>
      </c>
      <c r="D58" t="s">
        <v>573</v>
      </c>
      <c r="E58" t="s">
        <v>574</v>
      </c>
      <c r="F58" t="s">
        <v>575</v>
      </c>
      <c r="G58" t="s">
        <v>214</v>
      </c>
      <c r="H58" t="s">
        <v>125</v>
      </c>
      <c r="I58" t="s">
        <v>576</v>
      </c>
      <c r="J58" t="s">
        <v>577</v>
      </c>
      <c r="K58" t="s">
        <v>77</v>
      </c>
    </row>
    <row r="59" spans="1:11" x14ac:dyDescent="0.25">
      <c r="A59" t="s">
        <v>578</v>
      </c>
      <c r="B59" t="s">
        <v>579</v>
      </c>
      <c r="C59" t="s">
        <v>580</v>
      </c>
      <c r="D59" t="s">
        <v>581</v>
      </c>
      <c r="E59" t="s">
        <v>582</v>
      </c>
      <c r="F59" t="s">
        <v>583</v>
      </c>
      <c r="G59" t="s">
        <v>584</v>
      </c>
      <c r="H59" t="s">
        <v>125</v>
      </c>
      <c r="I59" t="s">
        <v>585</v>
      </c>
      <c r="J59" t="s">
        <v>586</v>
      </c>
      <c r="K59" t="s">
        <v>77</v>
      </c>
    </row>
    <row r="60" spans="1:11" x14ac:dyDescent="0.25">
      <c r="A60" t="s">
        <v>587</v>
      </c>
      <c r="B60" t="s">
        <v>588</v>
      </c>
      <c r="C60" t="s">
        <v>589</v>
      </c>
      <c r="D60" t="s">
        <v>590</v>
      </c>
      <c r="E60" t="s">
        <v>591</v>
      </c>
      <c r="F60" t="s">
        <v>592</v>
      </c>
      <c r="G60" t="s">
        <v>374</v>
      </c>
      <c r="H60" t="s">
        <v>125</v>
      </c>
      <c r="I60" t="s">
        <v>593</v>
      </c>
      <c r="J60" t="s">
        <v>594</v>
      </c>
      <c r="K60" t="s">
        <v>77</v>
      </c>
    </row>
    <row r="61" spans="1:11" x14ac:dyDescent="0.25">
      <c r="A61" t="s">
        <v>595</v>
      </c>
      <c r="B61" t="s">
        <v>596</v>
      </c>
      <c r="C61" t="s">
        <v>597</v>
      </c>
      <c r="D61" t="s">
        <v>598</v>
      </c>
      <c r="E61" t="s">
        <v>599</v>
      </c>
      <c r="F61" t="s">
        <v>600</v>
      </c>
      <c r="G61" t="s">
        <v>601</v>
      </c>
      <c r="H61" t="s">
        <v>125</v>
      </c>
      <c r="I61" t="s">
        <v>602</v>
      </c>
      <c r="J61" t="s">
        <v>603</v>
      </c>
      <c r="K61" t="s">
        <v>77</v>
      </c>
    </row>
    <row r="62" spans="1:11" x14ac:dyDescent="0.25">
      <c r="A62" t="s">
        <v>604</v>
      </c>
      <c r="B62" t="s">
        <v>605</v>
      </c>
      <c r="C62" t="s">
        <v>606</v>
      </c>
      <c r="D62" t="s">
        <v>607</v>
      </c>
      <c r="E62" t="s">
        <v>608</v>
      </c>
      <c r="F62" t="s">
        <v>340</v>
      </c>
      <c r="G62" t="s">
        <v>429</v>
      </c>
      <c r="H62" t="s">
        <v>125</v>
      </c>
      <c r="I62" t="s">
        <v>342</v>
      </c>
      <c r="J62" t="s">
        <v>609</v>
      </c>
      <c r="K62" t="s">
        <v>77</v>
      </c>
    </row>
    <row r="63" spans="1:11" x14ac:dyDescent="0.25">
      <c r="A63" t="s">
        <v>610</v>
      </c>
      <c r="B63" t="s">
        <v>611</v>
      </c>
      <c r="C63" t="s">
        <v>612</v>
      </c>
      <c r="D63" t="s">
        <v>613</v>
      </c>
      <c r="E63" t="s">
        <v>614</v>
      </c>
      <c r="F63" t="s">
        <v>615</v>
      </c>
      <c r="G63" t="s">
        <v>616</v>
      </c>
      <c r="H63" t="s">
        <v>125</v>
      </c>
      <c r="I63" t="s">
        <v>617</v>
      </c>
      <c r="J63" t="s">
        <v>618</v>
      </c>
      <c r="K63" t="s">
        <v>77</v>
      </c>
    </row>
    <row r="64" spans="1:11" x14ac:dyDescent="0.25">
      <c r="A64" t="s">
        <v>619</v>
      </c>
      <c r="B64" t="s">
        <v>620</v>
      </c>
      <c r="C64" t="s">
        <v>589</v>
      </c>
      <c r="D64" t="s">
        <v>621</v>
      </c>
      <c r="E64" t="s">
        <v>622</v>
      </c>
      <c r="F64" t="s">
        <v>623</v>
      </c>
      <c r="G64" t="s">
        <v>624</v>
      </c>
      <c r="H64" t="s">
        <v>125</v>
      </c>
      <c r="I64" t="s">
        <v>625</v>
      </c>
      <c r="J64" t="s">
        <v>626</v>
      </c>
      <c r="K64" t="s">
        <v>77</v>
      </c>
    </row>
    <row r="65" spans="1:11" x14ac:dyDescent="0.25">
      <c r="A65" t="s">
        <v>627</v>
      </c>
      <c r="B65" t="s">
        <v>628</v>
      </c>
      <c r="C65" t="s">
        <v>629</v>
      </c>
      <c r="D65" t="s">
        <v>630</v>
      </c>
      <c r="E65" t="s">
        <v>631</v>
      </c>
      <c r="F65" t="s">
        <v>632</v>
      </c>
      <c r="G65" t="s">
        <v>633</v>
      </c>
      <c r="H65" t="s">
        <v>125</v>
      </c>
      <c r="I65" t="s">
        <v>634</v>
      </c>
      <c r="J65" t="s">
        <v>635</v>
      </c>
      <c r="K65" t="s">
        <v>77</v>
      </c>
    </row>
    <row r="66" spans="1:11" x14ac:dyDescent="0.25">
      <c r="A66" t="s">
        <v>636</v>
      </c>
      <c r="B66" t="s">
        <v>637</v>
      </c>
      <c r="C66" t="s">
        <v>638</v>
      </c>
      <c r="D66" t="s">
        <v>639</v>
      </c>
      <c r="E66" t="s">
        <v>640</v>
      </c>
      <c r="F66" t="s">
        <v>641</v>
      </c>
      <c r="G66" t="s">
        <v>642</v>
      </c>
      <c r="H66" t="s">
        <v>125</v>
      </c>
      <c r="I66" t="s">
        <v>643</v>
      </c>
      <c r="J66" t="s">
        <v>644</v>
      </c>
      <c r="K66" t="s">
        <v>77</v>
      </c>
    </row>
    <row r="67" spans="1:11" x14ac:dyDescent="0.25">
      <c r="A67" t="s">
        <v>645</v>
      </c>
      <c r="B67" t="s">
        <v>646</v>
      </c>
      <c r="C67" t="s">
        <v>647</v>
      </c>
      <c r="D67" t="s">
        <v>648</v>
      </c>
      <c r="E67" t="s">
        <v>466</v>
      </c>
      <c r="F67" t="s">
        <v>649</v>
      </c>
      <c r="G67" t="s">
        <v>650</v>
      </c>
      <c r="H67" t="s">
        <v>125</v>
      </c>
      <c r="I67" t="s">
        <v>651</v>
      </c>
      <c r="J67" t="s">
        <v>652</v>
      </c>
      <c r="K67" t="s">
        <v>77</v>
      </c>
    </row>
    <row r="68" spans="1:11" x14ac:dyDescent="0.25">
      <c r="A68" t="s">
        <v>653</v>
      </c>
      <c r="B68" t="s">
        <v>654</v>
      </c>
      <c r="C68" t="s">
        <v>655</v>
      </c>
      <c r="D68" t="s">
        <v>656</v>
      </c>
      <c r="E68" t="s">
        <v>657</v>
      </c>
      <c r="F68" t="s">
        <v>658</v>
      </c>
      <c r="G68" t="s">
        <v>659</v>
      </c>
      <c r="H68" t="s">
        <v>125</v>
      </c>
      <c r="I68" t="s">
        <v>660</v>
      </c>
      <c r="J68" t="s">
        <v>661</v>
      </c>
      <c r="K68" t="s">
        <v>77</v>
      </c>
    </row>
    <row r="69" spans="1:11" x14ac:dyDescent="0.25">
      <c r="A69" t="s">
        <v>662</v>
      </c>
      <c r="B69" t="s">
        <v>663</v>
      </c>
      <c r="C69" t="s">
        <v>664</v>
      </c>
      <c r="D69" t="s">
        <v>237</v>
      </c>
      <c r="E69" t="s">
        <v>466</v>
      </c>
      <c r="F69" t="s">
        <v>665</v>
      </c>
      <c r="G69" t="s">
        <v>666</v>
      </c>
      <c r="H69" t="s">
        <v>125</v>
      </c>
      <c r="I69" t="s">
        <v>667</v>
      </c>
      <c r="J69" t="s">
        <v>668</v>
      </c>
      <c r="K69" t="s">
        <v>77</v>
      </c>
    </row>
    <row r="70" spans="1:11" x14ac:dyDescent="0.25">
      <c r="A70" t="s">
        <v>669</v>
      </c>
      <c r="B70" t="s">
        <v>670</v>
      </c>
      <c r="C70" t="s">
        <v>671</v>
      </c>
      <c r="D70" t="s">
        <v>672</v>
      </c>
      <c r="E70" t="s">
        <v>466</v>
      </c>
      <c r="F70" t="s">
        <v>673</v>
      </c>
      <c r="G70" t="s">
        <v>161</v>
      </c>
      <c r="H70" t="s">
        <v>125</v>
      </c>
      <c r="I70" t="s">
        <v>674</v>
      </c>
      <c r="J70" t="s">
        <v>675</v>
      </c>
      <c r="K70" t="s">
        <v>77</v>
      </c>
    </row>
    <row r="71" spans="1:11" x14ac:dyDescent="0.25">
      <c r="A71" t="s">
        <v>676</v>
      </c>
      <c r="B71" t="s">
        <v>677</v>
      </c>
      <c r="C71" t="s">
        <v>678</v>
      </c>
      <c r="D71" t="s">
        <v>679</v>
      </c>
      <c r="E71" t="s">
        <v>538</v>
      </c>
      <c r="F71" t="s">
        <v>680</v>
      </c>
      <c r="G71" t="s">
        <v>468</v>
      </c>
      <c r="H71" t="s">
        <v>125</v>
      </c>
      <c r="I71" t="s">
        <v>681</v>
      </c>
      <c r="J71" t="s">
        <v>682</v>
      </c>
      <c r="K71" t="s">
        <v>77</v>
      </c>
    </row>
    <row r="72" spans="1:11" x14ac:dyDescent="0.25">
      <c r="A72" t="s">
        <v>683</v>
      </c>
      <c r="B72" t="s">
        <v>684</v>
      </c>
      <c r="C72" t="s">
        <v>685</v>
      </c>
      <c r="D72" t="s">
        <v>686</v>
      </c>
      <c r="E72" t="s">
        <v>186</v>
      </c>
      <c r="F72" t="s">
        <v>687</v>
      </c>
      <c r="G72" t="s">
        <v>688</v>
      </c>
      <c r="H72" t="s">
        <v>125</v>
      </c>
      <c r="I72" t="s">
        <v>689</v>
      </c>
      <c r="J72" t="s">
        <v>690</v>
      </c>
      <c r="K72" t="s">
        <v>77</v>
      </c>
    </row>
    <row r="73" spans="1:11" x14ac:dyDescent="0.25">
      <c r="A73" t="s">
        <v>691</v>
      </c>
      <c r="B73" t="s">
        <v>692</v>
      </c>
      <c r="C73" t="s">
        <v>693</v>
      </c>
      <c r="D73" t="s">
        <v>694</v>
      </c>
      <c r="E73" t="s">
        <v>695</v>
      </c>
      <c r="F73" t="s">
        <v>696</v>
      </c>
      <c r="G73" t="s">
        <v>489</v>
      </c>
      <c r="H73" t="s">
        <v>125</v>
      </c>
      <c r="I73" t="s">
        <v>697</v>
      </c>
      <c r="J73" t="s">
        <v>698</v>
      </c>
      <c r="K73" t="s">
        <v>77</v>
      </c>
    </row>
    <row r="74" spans="1:11" x14ac:dyDescent="0.25">
      <c r="A74" t="s">
        <v>699</v>
      </c>
      <c r="B74" t="s">
        <v>700</v>
      </c>
      <c r="C74" t="s">
        <v>701</v>
      </c>
      <c r="D74" t="s">
        <v>237</v>
      </c>
      <c r="E74" t="s">
        <v>702</v>
      </c>
      <c r="F74" t="s">
        <v>703</v>
      </c>
      <c r="G74" t="s">
        <v>704</v>
      </c>
      <c r="H74" t="s">
        <v>125</v>
      </c>
      <c r="I74" t="s">
        <v>705</v>
      </c>
      <c r="J74" t="s">
        <v>706</v>
      </c>
      <c r="K74" t="s">
        <v>77</v>
      </c>
    </row>
    <row r="75" spans="1:11" x14ac:dyDescent="0.25">
      <c r="A75" t="s">
        <v>707</v>
      </c>
      <c r="B75" t="s">
        <v>708</v>
      </c>
      <c r="C75" t="s">
        <v>709</v>
      </c>
      <c r="D75" t="s">
        <v>710</v>
      </c>
      <c r="E75" t="s">
        <v>711</v>
      </c>
      <c r="F75" t="s">
        <v>712</v>
      </c>
      <c r="G75" t="s">
        <v>504</v>
      </c>
      <c r="H75" t="s">
        <v>125</v>
      </c>
      <c r="I75" t="s">
        <v>713</v>
      </c>
      <c r="J75" t="s">
        <v>714</v>
      </c>
      <c r="K75" t="s">
        <v>77</v>
      </c>
    </row>
    <row r="76" spans="1:11" x14ac:dyDescent="0.25">
      <c r="A76" t="s">
        <v>715</v>
      </c>
      <c r="B76" t="s">
        <v>716</v>
      </c>
      <c r="C76" t="s">
        <v>717</v>
      </c>
      <c r="D76" t="s">
        <v>718</v>
      </c>
      <c r="E76" t="s">
        <v>203</v>
      </c>
      <c r="F76" t="s">
        <v>719</v>
      </c>
      <c r="G76" t="s">
        <v>720</v>
      </c>
      <c r="H76" t="s">
        <v>125</v>
      </c>
      <c r="I76" t="s">
        <v>250</v>
      </c>
      <c r="J76" t="s">
        <v>721</v>
      </c>
      <c r="K76" t="s">
        <v>77</v>
      </c>
    </row>
    <row r="77" spans="1:11" x14ac:dyDescent="0.25">
      <c r="A77" t="s">
        <v>722</v>
      </c>
      <c r="B77" t="s">
        <v>723</v>
      </c>
      <c r="C77" t="s">
        <v>724</v>
      </c>
      <c r="D77" t="s">
        <v>725</v>
      </c>
      <c r="E77" t="s">
        <v>726</v>
      </c>
      <c r="F77" t="s">
        <v>727</v>
      </c>
      <c r="G77" t="s">
        <v>533</v>
      </c>
      <c r="H77" t="s">
        <v>125</v>
      </c>
      <c r="I77" t="s">
        <v>728</v>
      </c>
      <c r="J77" t="s">
        <v>729</v>
      </c>
      <c r="K77" t="s">
        <v>77</v>
      </c>
    </row>
    <row r="78" spans="1:11" x14ac:dyDescent="0.25">
      <c r="A78" t="s">
        <v>730</v>
      </c>
      <c r="B78" t="s">
        <v>731</v>
      </c>
      <c r="C78" t="s">
        <v>732</v>
      </c>
      <c r="D78" t="s">
        <v>733</v>
      </c>
      <c r="E78" t="s">
        <v>734</v>
      </c>
      <c r="F78" t="s">
        <v>735</v>
      </c>
      <c r="G78" t="s">
        <v>549</v>
      </c>
      <c r="H78" t="s">
        <v>125</v>
      </c>
      <c r="I78" t="s">
        <v>736</v>
      </c>
      <c r="J78" t="s">
        <v>737</v>
      </c>
      <c r="K78" t="s">
        <v>77</v>
      </c>
    </row>
    <row r="79" spans="1:11" x14ac:dyDescent="0.25">
      <c r="A79" t="s">
        <v>738</v>
      </c>
      <c r="B79" t="s">
        <v>739</v>
      </c>
      <c r="C79" t="s">
        <v>740</v>
      </c>
      <c r="D79" t="s">
        <v>741</v>
      </c>
      <c r="E79" t="s">
        <v>742</v>
      </c>
      <c r="F79" t="s">
        <v>231</v>
      </c>
      <c r="G79" t="s">
        <v>232</v>
      </c>
      <c r="H79" t="s">
        <v>125</v>
      </c>
      <c r="I79" t="s">
        <v>233</v>
      </c>
      <c r="J79" t="s">
        <v>743</v>
      </c>
      <c r="K79" t="s">
        <v>77</v>
      </c>
    </row>
    <row r="80" spans="1:11" x14ac:dyDescent="0.25">
      <c r="A80" t="s">
        <v>744</v>
      </c>
      <c r="B80" t="s">
        <v>745</v>
      </c>
      <c r="C80" t="s">
        <v>148</v>
      </c>
      <c r="D80" t="s">
        <v>746</v>
      </c>
      <c r="E80" t="s">
        <v>747</v>
      </c>
      <c r="F80" t="s">
        <v>748</v>
      </c>
      <c r="G80" t="s">
        <v>397</v>
      </c>
      <c r="H80" t="s">
        <v>125</v>
      </c>
      <c r="I80" t="s">
        <v>749</v>
      </c>
      <c r="J80" t="s">
        <v>750</v>
      </c>
      <c r="K80" t="s">
        <v>77</v>
      </c>
    </row>
    <row r="81" spans="1:11" x14ac:dyDescent="0.25">
      <c r="A81" t="s">
        <v>751</v>
      </c>
      <c r="B81" t="s">
        <v>752</v>
      </c>
      <c r="C81" t="s">
        <v>753</v>
      </c>
      <c r="D81" t="s">
        <v>671</v>
      </c>
      <c r="E81" t="s">
        <v>538</v>
      </c>
      <c r="F81" t="s">
        <v>754</v>
      </c>
      <c r="G81" t="s">
        <v>560</v>
      </c>
      <c r="H81" t="s">
        <v>125</v>
      </c>
      <c r="I81" t="s">
        <v>755</v>
      </c>
      <c r="J81" t="s">
        <v>756</v>
      </c>
      <c r="K81" t="s">
        <v>77</v>
      </c>
    </row>
    <row r="82" spans="1:11" x14ac:dyDescent="0.25">
      <c r="A82" t="s">
        <v>757</v>
      </c>
      <c r="B82" t="s">
        <v>758</v>
      </c>
      <c r="C82" t="s">
        <v>759</v>
      </c>
      <c r="D82" t="s">
        <v>760</v>
      </c>
      <c r="E82" t="s">
        <v>761</v>
      </c>
      <c r="F82" t="s">
        <v>762</v>
      </c>
      <c r="G82" t="s">
        <v>763</v>
      </c>
      <c r="H82" t="s">
        <v>125</v>
      </c>
      <c r="I82" t="s">
        <v>764</v>
      </c>
      <c r="J82" t="s">
        <v>765</v>
      </c>
      <c r="K82" t="s">
        <v>77</v>
      </c>
    </row>
    <row r="83" spans="1:11" x14ac:dyDescent="0.25">
      <c r="A83" t="s">
        <v>766</v>
      </c>
      <c r="B83" t="s">
        <v>767</v>
      </c>
      <c r="C83" t="s">
        <v>768</v>
      </c>
      <c r="D83" t="s">
        <v>769</v>
      </c>
      <c r="E83" t="s">
        <v>770</v>
      </c>
      <c r="F83" t="s">
        <v>771</v>
      </c>
      <c r="G83" t="s">
        <v>584</v>
      </c>
      <c r="H83" t="s">
        <v>125</v>
      </c>
      <c r="I83" t="s">
        <v>437</v>
      </c>
      <c r="J83" t="s">
        <v>772</v>
      </c>
      <c r="K83" t="s">
        <v>77</v>
      </c>
    </row>
    <row r="84" spans="1:11" x14ac:dyDescent="0.25">
      <c r="A84" t="s">
        <v>773</v>
      </c>
      <c r="B84" t="s">
        <v>774</v>
      </c>
      <c r="C84" t="s">
        <v>775</v>
      </c>
      <c r="D84" t="s">
        <v>776</v>
      </c>
      <c r="E84" t="s">
        <v>777</v>
      </c>
      <c r="F84" t="s">
        <v>778</v>
      </c>
      <c r="G84" t="s">
        <v>779</v>
      </c>
      <c r="H84" t="s">
        <v>125</v>
      </c>
      <c r="I84" t="s">
        <v>780</v>
      </c>
      <c r="J84" t="s">
        <v>781</v>
      </c>
      <c r="K84" t="s">
        <v>77</v>
      </c>
    </row>
    <row r="85" spans="1:11" x14ac:dyDescent="0.25">
      <c r="A85" t="s">
        <v>782</v>
      </c>
      <c r="B85" t="s">
        <v>783</v>
      </c>
      <c r="C85" t="s">
        <v>784</v>
      </c>
      <c r="D85" t="s">
        <v>785</v>
      </c>
      <c r="E85" t="s">
        <v>786</v>
      </c>
      <c r="F85" t="s">
        <v>787</v>
      </c>
      <c r="G85" t="s">
        <v>788</v>
      </c>
      <c r="H85" t="s">
        <v>125</v>
      </c>
      <c r="I85" t="s">
        <v>242</v>
      </c>
      <c r="J85" t="s">
        <v>789</v>
      </c>
      <c r="K85" t="s">
        <v>77</v>
      </c>
    </row>
    <row r="86" spans="1:11" x14ac:dyDescent="0.25">
      <c r="A86" t="s">
        <v>790</v>
      </c>
      <c r="B86" t="s">
        <v>791</v>
      </c>
      <c r="C86" t="s">
        <v>219</v>
      </c>
      <c r="D86" t="s">
        <v>792</v>
      </c>
      <c r="E86" t="s">
        <v>538</v>
      </c>
      <c r="F86" t="s">
        <v>793</v>
      </c>
      <c r="G86" t="s">
        <v>223</v>
      </c>
      <c r="H86" t="s">
        <v>125</v>
      </c>
      <c r="I86" t="s">
        <v>794</v>
      </c>
      <c r="J86" t="s">
        <v>795</v>
      </c>
      <c r="K86" t="s">
        <v>77</v>
      </c>
    </row>
    <row r="87" spans="1:11" x14ac:dyDescent="0.25">
      <c r="A87" t="s">
        <v>796</v>
      </c>
      <c r="B87" t="s">
        <v>797</v>
      </c>
      <c r="C87" t="s">
        <v>798</v>
      </c>
      <c r="D87" t="s">
        <v>799</v>
      </c>
      <c r="E87" t="s">
        <v>800</v>
      </c>
      <c r="F87" t="s">
        <v>801</v>
      </c>
      <c r="G87" t="s">
        <v>214</v>
      </c>
      <c r="H87" t="s">
        <v>125</v>
      </c>
      <c r="I87" t="s">
        <v>802</v>
      </c>
      <c r="J87" t="s">
        <v>803</v>
      </c>
      <c r="K87" t="s">
        <v>77</v>
      </c>
    </row>
    <row r="88" spans="1:11" x14ac:dyDescent="0.25">
      <c r="A88" t="s">
        <v>804</v>
      </c>
      <c r="B88" t="s">
        <v>805</v>
      </c>
      <c r="C88" t="s">
        <v>806</v>
      </c>
      <c r="D88" t="s">
        <v>807</v>
      </c>
      <c r="E88" t="s">
        <v>808</v>
      </c>
      <c r="F88" t="s">
        <v>809</v>
      </c>
      <c r="G88" t="s">
        <v>616</v>
      </c>
      <c r="H88" t="s">
        <v>125</v>
      </c>
      <c r="I88" t="s">
        <v>810</v>
      </c>
      <c r="J88" t="s">
        <v>811</v>
      </c>
      <c r="K88" t="s">
        <v>77</v>
      </c>
    </row>
    <row r="89" spans="1:11" x14ac:dyDescent="0.25">
      <c r="A89" t="s">
        <v>812</v>
      </c>
      <c r="B89" t="s">
        <v>813</v>
      </c>
      <c r="C89" t="s">
        <v>814</v>
      </c>
      <c r="D89" t="s">
        <v>815</v>
      </c>
      <c r="E89" t="s">
        <v>816</v>
      </c>
      <c r="F89" t="s">
        <v>817</v>
      </c>
      <c r="G89" t="s">
        <v>818</v>
      </c>
      <c r="H89" t="s">
        <v>125</v>
      </c>
      <c r="I89" t="s">
        <v>819</v>
      </c>
      <c r="J89" t="s">
        <v>820</v>
      </c>
      <c r="K89" t="s">
        <v>77</v>
      </c>
    </row>
    <row r="90" spans="1:11" x14ac:dyDescent="0.25">
      <c r="A90" t="s">
        <v>821</v>
      </c>
      <c r="B90" t="s">
        <v>822</v>
      </c>
      <c r="C90" t="s">
        <v>823</v>
      </c>
      <c r="D90" t="s">
        <v>824</v>
      </c>
      <c r="E90" t="s">
        <v>825</v>
      </c>
      <c r="F90" t="s">
        <v>826</v>
      </c>
      <c r="G90" t="s">
        <v>429</v>
      </c>
      <c r="H90" t="s">
        <v>125</v>
      </c>
      <c r="I90" t="s">
        <v>827</v>
      </c>
      <c r="J90" t="s">
        <v>828</v>
      </c>
      <c r="K90" t="s">
        <v>77</v>
      </c>
    </row>
    <row r="91" spans="1:11" x14ac:dyDescent="0.25">
      <c r="A91" t="s">
        <v>829</v>
      </c>
      <c r="B91" t="s">
        <v>830</v>
      </c>
      <c r="C91" t="s">
        <v>831</v>
      </c>
      <c r="D91" t="s">
        <v>832</v>
      </c>
      <c r="E91" t="s">
        <v>833</v>
      </c>
      <c r="F91" t="s">
        <v>834</v>
      </c>
      <c r="G91" t="s">
        <v>835</v>
      </c>
      <c r="H91" t="s">
        <v>125</v>
      </c>
      <c r="I91" t="s">
        <v>836</v>
      </c>
      <c r="J91" t="s">
        <v>837</v>
      </c>
      <c r="K91" t="s">
        <v>77</v>
      </c>
    </row>
    <row r="92" spans="1:11" x14ac:dyDescent="0.25">
      <c r="A92" t="s">
        <v>838</v>
      </c>
      <c r="B92" t="s">
        <v>839</v>
      </c>
      <c r="C92" t="s">
        <v>219</v>
      </c>
      <c r="D92" t="s">
        <v>840</v>
      </c>
      <c r="E92" t="s">
        <v>841</v>
      </c>
      <c r="F92" t="s">
        <v>842</v>
      </c>
      <c r="G92" t="s">
        <v>624</v>
      </c>
      <c r="H92" t="s">
        <v>125</v>
      </c>
      <c r="I92" t="s">
        <v>843</v>
      </c>
      <c r="J92" t="s">
        <v>844</v>
      </c>
      <c r="K92" t="s">
        <v>77</v>
      </c>
    </row>
    <row r="93" spans="1:11" x14ac:dyDescent="0.25">
      <c r="A93" t="s">
        <v>845</v>
      </c>
      <c r="B93" t="s">
        <v>846</v>
      </c>
      <c r="C93" t="s">
        <v>847</v>
      </c>
      <c r="D93" t="s">
        <v>848</v>
      </c>
      <c r="E93" t="s">
        <v>849</v>
      </c>
      <c r="F93" t="s">
        <v>850</v>
      </c>
      <c r="G93" t="s">
        <v>143</v>
      </c>
      <c r="H93" t="s">
        <v>125</v>
      </c>
      <c r="I93" t="s">
        <v>851</v>
      </c>
      <c r="J93" t="s">
        <v>852</v>
      </c>
      <c r="K93" t="s">
        <v>77</v>
      </c>
    </row>
    <row r="94" spans="1:11" x14ac:dyDescent="0.25">
      <c r="A94" t="s">
        <v>853</v>
      </c>
      <c r="B94" t="s">
        <v>854</v>
      </c>
      <c r="C94" t="s">
        <v>775</v>
      </c>
      <c r="D94" t="s">
        <v>855</v>
      </c>
      <c r="E94" t="s">
        <v>856</v>
      </c>
      <c r="F94" t="s">
        <v>857</v>
      </c>
      <c r="G94" t="s">
        <v>818</v>
      </c>
      <c r="H94" t="s">
        <v>125</v>
      </c>
      <c r="I94" t="s">
        <v>444</v>
      </c>
      <c r="J94" t="s">
        <v>858</v>
      </c>
      <c r="K94" t="s">
        <v>78</v>
      </c>
    </row>
    <row r="95" spans="1:11" x14ac:dyDescent="0.25">
      <c r="A95" t="s">
        <v>859</v>
      </c>
      <c r="B95" t="s">
        <v>860</v>
      </c>
      <c r="C95" t="s">
        <v>448</v>
      </c>
      <c r="D95" t="s">
        <v>861</v>
      </c>
      <c r="E95" t="s">
        <v>862</v>
      </c>
      <c r="F95" t="s">
        <v>863</v>
      </c>
      <c r="G95" t="s">
        <v>864</v>
      </c>
      <c r="H95" t="s">
        <v>125</v>
      </c>
      <c r="I95" t="s">
        <v>865</v>
      </c>
      <c r="J95" t="s">
        <v>866</v>
      </c>
      <c r="K95" t="s">
        <v>78</v>
      </c>
    </row>
    <row r="96" spans="1:11" x14ac:dyDescent="0.25">
      <c r="A96" t="s">
        <v>867</v>
      </c>
      <c r="B96" t="s">
        <v>868</v>
      </c>
      <c r="C96" t="s">
        <v>869</v>
      </c>
      <c r="D96" t="s">
        <v>870</v>
      </c>
      <c r="E96" t="s">
        <v>871</v>
      </c>
      <c r="F96" t="s">
        <v>872</v>
      </c>
      <c r="G96" t="s">
        <v>873</v>
      </c>
      <c r="H96" t="s">
        <v>125</v>
      </c>
      <c r="I96" t="s">
        <v>874</v>
      </c>
      <c r="J96" t="s">
        <v>875</v>
      </c>
      <c r="K96" t="s">
        <v>78</v>
      </c>
    </row>
    <row r="97" spans="1:11" x14ac:dyDescent="0.25">
      <c r="A97" t="s">
        <v>876</v>
      </c>
      <c r="B97" t="s">
        <v>877</v>
      </c>
      <c r="C97" t="s">
        <v>878</v>
      </c>
      <c r="D97" t="s">
        <v>879</v>
      </c>
      <c r="E97" t="s">
        <v>880</v>
      </c>
      <c r="F97" t="s">
        <v>881</v>
      </c>
      <c r="G97" t="s">
        <v>882</v>
      </c>
      <c r="H97" t="s">
        <v>125</v>
      </c>
      <c r="I97" t="s">
        <v>883</v>
      </c>
      <c r="J97" t="s">
        <v>884</v>
      </c>
      <c r="K97" t="s">
        <v>78</v>
      </c>
    </row>
    <row r="98" spans="1:11" x14ac:dyDescent="0.25">
      <c r="A98" t="s">
        <v>885</v>
      </c>
      <c r="B98" t="s">
        <v>886</v>
      </c>
      <c r="C98" t="s">
        <v>887</v>
      </c>
      <c r="D98" t="s">
        <v>888</v>
      </c>
      <c r="E98" t="s">
        <v>889</v>
      </c>
      <c r="F98" t="s">
        <v>890</v>
      </c>
      <c r="G98" t="s">
        <v>891</v>
      </c>
      <c r="H98" t="s">
        <v>125</v>
      </c>
      <c r="I98" t="s">
        <v>892</v>
      </c>
      <c r="J98" t="s">
        <v>893</v>
      </c>
      <c r="K98" t="s">
        <v>77</v>
      </c>
    </row>
    <row r="99" spans="1:11" x14ac:dyDescent="0.25">
      <c r="A99" t="s">
        <v>894</v>
      </c>
      <c r="B99" t="s">
        <v>895</v>
      </c>
      <c r="C99" t="s">
        <v>896</v>
      </c>
      <c r="D99" t="s">
        <v>897</v>
      </c>
      <c r="E99" t="s">
        <v>898</v>
      </c>
      <c r="F99" t="s">
        <v>899</v>
      </c>
      <c r="G99" t="s">
        <v>900</v>
      </c>
      <c r="H99" t="s">
        <v>125</v>
      </c>
      <c r="I99" t="s">
        <v>901</v>
      </c>
      <c r="J99" t="s">
        <v>902</v>
      </c>
      <c r="K99" t="s">
        <v>77</v>
      </c>
    </row>
    <row r="100" spans="1:11" x14ac:dyDescent="0.25">
      <c r="A100" t="s">
        <v>903</v>
      </c>
      <c r="B100" t="s">
        <v>904</v>
      </c>
      <c r="C100" t="s">
        <v>905</v>
      </c>
      <c r="D100" t="s">
        <v>906</v>
      </c>
      <c r="E100" t="s">
        <v>907</v>
      </c>
      <c r="F100" t="s">
        <v>908</v>
      </c>
      <c r="G100" t="s">
        <v>788</v>
      </c>
      <c r="H100" t="s">
        <v>125</v>
      </c>
      <c r="I100" t="s">
        <v>909</v>
      </c>
      <c r="J100" t="s">
        <v>910</v>
      </c>
      <c r="K100" t="s">
        <v>77</v>
      </c>
    </row>
    <row r="101" spans="1:11" x14ac:dyDescent="0.25">
      <c r="A101" t="s">
        <v>911</v>
      </c>
      <c r="B101" t="s">
        <v>912</v>
      </c>
      <c r="C101" t="s">
        <v>913</v>
      </c>
      <c r="D101" t="s">
        <v>914</v>
      </c>
      <c r="E101" t="s">
        <v>915</v>
      </c>
      <c r="F101" t="s">
        <v>916</v>
      </c>
      <c r="G101" t="s">
        <v>482</v>
      </c>
      <c r="H101" t="s">
        <v>125</v>
      </c>
      <c r="I101" t="s">
        <v>917</v>
      </c>
      <c r="J101" t="s">
        <v>918</v>
      </c>
      <c r="K101" t="s">
        <v>78</v>
      </c>
    </row>
    <row r="102" spans="1:11" x14ac:dyDescent="0.25">
      <c r="A102" t="s">
        <v>919</v>
      </c>
      <c r="B102" t="s">
        <v>920</v>
      </c>
      <c r="C102" t="s">
        <v>921</v>
      </c>
      <c r="D102" t="s">
        <v>922</v>
      </c>
      <c r="E102" t="s">
        <v>923</v>
      </c>
      <c r="F102" t="s">
        <v>924</v>
      </c>
      <c r="G102" t="s">
        <v>533</v>
      </c>
      <c r="H102" t="s">
        <v>125</v>
      </c>
      <c r="I102" t="s">
        <v>925</v>
      </c>
      <c r="J102" t="s">
        <v>926</v>
      </c>
      <c r="K102" t="s">
        <v>78</v>
      </c>
    </row>
    <row r="103" spans="1:11" x14ac:dyDescent="0.25">
      <c r="A103" t="s">
        <v>927</v>
      </c>
      <c r="B103" t="s">
        <v>928</v>
      </c>
      <c r="C103" t="s">
        <v>929</v>
      </c>
      <c r="D103" t="s">
        <v>930</v>
      </c>
      <c r="E103" t="s">
        <v>931</v>
      </c>
      <c r="F103" t="s">
        <v>932</v>
      </c>
      <c r="G103" t="s">
        <v>666</v>
      </c>
      <c r="H103" t="s">
        <v>125</v>
      </c>
      <c r="I103" t="s">
        <v>933</v>
      </c>
      <c r="J103" t="s">
        <v>934</v>
      </c>
      <c r="K103" t="s">
        <v>78</v>
      </c>
    </row>
    <row r="104" spans="1:11" x14ac:dyDescent="0.25">
      <c r="A104" t="s">
        <v>935</v>
      </c>
      <c r="B104" t="s">
        <v>936</v>
      </c>
      <c r="C104" t="s">
        <v>937</v>
      </c>
      <c r="D104" t="s">
        <v>938</v>
      </c>
      <c r="E104" t="s">
        <v>939</v>
      </c>
      <c r="F104" t="s">
        <v>940</v>
      </c>
      <c r="G104" t="s">
        <v>504</v>
      </c>
      <c r="H104" t="s">
        <v>125</v>
      </c>
      <c r="I104" t="s">
        <v>941</v>
      </c>
      <c r="J104" t="s">
        <v>942</v>
      </c>
      <c r="K104" t="s">
        <v>78</v>
      </c>
    </row>
    <row r="105" spans="1:11" x14ac:dyDescent="0.25">
      <c r="A105" t="s">
        <v>943</v>
      </c>
      <c r="B105" t="s">
        <v>944</v>
      </c>
      <c r="C105" t="s">
        <v>945</v>
      </c>
      <c r="D105" t="s">
        <v>946</v>
      </c>
      <c r="E105" t="s">
        <v>915</v>
      </c>
      <c r="F105" t="s">
        <v>947</v>
      </c>
      <c r="G105" t="s">
        <v>475</v>
      </c>
      <c r="H105" t="s">
        <v>125</v>
      </c>
      <c r="I105" t="s">
        <v>451</v>
      </c>
      <c r="J105" t="s">
        <v>948</v>
      </c>
      <c r="K105" t="s">
        <v>78</v>
      </c>
    </row>
    <row r="106" spans="1:11" x14ac:dyDescent="0.25">
      <c r="A106" t="s">
        <v>949</v>
      </c>
      <c r="B106" t="s">
        <v>950</v>
      </c>
      <c r="C106" t="s">
        <v>951</v>
      </c>
      <c r="D106" t="s">
        <v>952</v>
      </c>
      <c r="E106" t="s">
        <v>953</v>
      </c>
      <c r="F106" t="s">
        <v>954</v>
      </c>
      <c r="G106" t="s">
        <v>955</v>
      </c>
      <c r="H106" t="s">
        <v>125</v>
      </c>
      <c r="I106" t="s">
        <v>956</v>
      </c>
      <c r="J106" t="s">
        <v>957</v>
      </c>
      <c r="K106" t="s">
        <v>78</v>
      </c>
    </row>
    <row r="107" spans="1:11" x14ac:dyDescent="0.25">
      <c r="A107" t="s">
        <v>958</v>
      </c>
      <c r="B107" t="s">
        <v>959</v>
      </c>
      <c r="C107" t="s">
        <v>960</v>
      </c>
      <c r="D107" t="s">
        <v>961</v>
      </c>
      <c r="E107" t="s">
        <v>962</v>
      </c>
      <c r="F107" t="s">
        <v>963</v>
      </c>
      <c r="G107" t="s">
        <v>482</v>
      </c>
      <c r="H107" t="s">
        <v>125</v>
      </c>
      <c r="I107" t="s">
        <v>964</v>
      </c>
      <c r="J107" t="s">
        <v>965</v>
      </c>
      <c r="K107" t="s">
        <v>78</v>
      </c>
    </row>
    <row r="108" spans="1:11" x14ac:dyDescent="0.25">
      <c r="A108" t="s">
        <v>966</v>
      </c>
      <c r="B108" t="s">
        <v>967</v>
      </c>
      <c r="C108" t="s">
        <v>410</v>
      </c>
      <c r="D108" t="s">
        <v>411</v>
      </c>
      <c r="E108" t="s">
        <v>412</v>
      </c>
      <c r="F108" t="s">
        <v>968</v>
      </c>
      <c r="G108" t="s">
        <v>475</v>
      </c>
      <c r="H108" t="s">
        <v>125</v>
      </c>
      <c r="I108" t="s">
        <v>414</v>
      </c>
      <c r="J108" t="s">
        <v>415</v>
      </c>
      <c r="K108" t="s">
        <v>78</v>
      </c>
    </row>
    <row r="109" spans="1:11" x14ac:dyDescent="0.25">
      <c r="A109" t="s">
        <v>969</v>
      </c>
      <c r="B109" t="s">
        <v>970</v>
      </c>
      <c r="C109" t="s">
        <v>921</v>
      </c>
      <c r="D109" t="s">
        <v>971</v>
      </c>
      <c r="E109" t="s">
        <v>972</v>
      </c>
      <c r="F109" t="s">
        <v>973</v>
      </c>
      <c r="G109" t="s">
        <v>974</v>
      </c>
      <c r="H109" t="s">
        <v>125</v>
      </c>
      <c r="I109" t="s">
        <v>975</v>
      </c>
      <c r="J109" t="s">
        <v>976</v>
      </c>
      <c r="K109" t="s">
        <v>77</v>
      </c>
    </row>
    <row r="110" spans="1:11" x14ac:dyDescent="0.25">
      <c r="A110" t="s">
        <v>977</v>
      </c>
      <c r="B110" t="s">
        <v>978</v>
      </c>
      <c r="C110" t="s">
        <v>979</v>
      </c>
      <c r="D110" t="s">
        <v>980</v>
      </c>
      <c r="E110" t="s">
        <v>981</v>
      </c>
      <c r="F110" t="s">
        <v>982</v>
      </c>
      <c r="G110" t="s">
        <v>955</v>
      </c>
      <c r="H110" t="s">
        <v>125</v>
      </c>
      <c r="I110" t="s">
        <v>983</v>
      </c>
      <c r="J110" t="s">
        <v>984</v>
      </c>
      <c r="K110" t="s">
        <v>77</v>
      </c>
    </row>
    <row r="111" spans="1:11" x14ac:dyDescent="0.25">
      <c r="A111" t="s">
        <v>985</v>
      </c>
      <c r="B111" t="s">
        <v>986</v>
      </c>
      <c r="C111" t="s">
        <v>887</v>
      </c>
      <c r="D111" t="s">
        <v>888</v>
      </c>
      <c r="E111" t="s">
        <v>889</v>
      </c>
      <c r="F111" t="s">
        <v>987</v>
      </c>
      <c r="G111" t="s">
        <v>891</v>
      </c>
      <c r="H111" t="s">
        <v>125</v>
      </c>
      <c r="I111" t="s">
        <v>892</v>
      </c>
      <c r="J111" t="s">
        <v>893</v>
      </c>
      <c r="K111" t="s">
        <v>77</v>
      </c>
    </row>
    <row r="112" spans="1:11" x14ac:dyDescent="0.25">
      <c r="A112" t="s">
        <v>988</v>
      </c>
      <c r="B112" t="s">
        <v>989</v>
      </c>
      <c r="C112" t="s">
        <v>990</v>
      </c>
      <c r="D112" t="s">
        <v>991</v>
      </c>
      <c r="E112" t="s">
        <v>992</v>
      </c>
      <c r="F112" t="s">
        <v>993</v>
      </c>
      <c r="G112" t="s">
        <v>994</v>
      </c>
      <c r="H112" t="s">
        <v>125</v>
      </c>
      <c r="I112" t="s">
        <v>995</v>
      </c>
      <c r="J112" t="s">
        <v>996</v>
      </c>
      <c r="K112" t="s">
        <v>77</v>
      </c>
    </row>
    <row r="113" spans="1:11" x14ac:dyDescent="0.25">
      <c r="A113" t="s">
        <v>997</v>
      </c>
      <c r="B113" t="s">
        <v>998</v>
      </c>
      <c r="C113" t="s">
        <v>999</v>
      </c>
      <c r="D113" t="s">
        <v>1000</v>
      </c>
      <c r="E113" t="s">
        <v>841</v>
      </c>
      <c r="F113" t="s">
        <v>1001</v>
      </c>
      <c r="G113" t="s">
        <v>223</v>
      </c>
      <c r="H113" t="s">
        <v>125</v>
      </c>
      <c r="I113" t="s">
        <v>1002</v>
      </c>
      <c r="J113" t="s">
        <v>1003</v>
      </c>
      <c r="K113" t="s">
        <v>77</v>
      </c>
    </row>
    <row r="114" spans="1:11" x14ac:dyDescent="0.25">
      <c r="A114" t="s">
        <v>1004</v>
      </c>
      <c r="B114" t="s">
        <v>1005</v>
      </c>
      <c r="C114" t="s">
        <v>1006</v>
      </c>
      <c r="D114" t="s">
        <v>1007</v>
      </c>
      <c r="E114" t="s">
        <v>203</v>
      </c>
      <c r="F114" t="s">
        <v>1008</v>
      </c>
      <c r="G114" t="s">
        <v>1009</v>
      </c>
      <c r="H114" t="s">
        <v>125</v>
      </c>
      <c r="I114" t="s">
        <v>1010</v>
      </c>
      <c r="J114" t="s">
        <v>1011</v>
      </c>
      <c r="K114" t="s">
        <v>77</v>
      </c>
    </row>
    <row r="115" spans="1:11" x14ac:dyDescent="0.25">
      <c r="A115" t="s">
        <v>1012</v>
      </c>
      <c r="B115" t="s">
        <v>1013</v>
      </c>
      <c r="C115" t="s">
        <v>1014</v>
      </c>
      <c r="D115" t="s">
        <v>1015</v>
      </c>
      <c r="E115" t="s">
        <v>657</v>
      </c>
      <c r="F115" t="s">
        <v>1016</v>
      </c>
      <c r="G115" t="s">
        <v>650</v>
      </c>
      <c r="H115" t="s">
        <v>125</v>
      </c>
      <c r="I115" t="s">
        <v>1017</v>
      </c>
      <c r="J115" t="s">
        <v>1018</v>
      </c>
      <c r="K115" t="s">
        <v>77</v>
      </c>
    </row>
    <row r="116" spans="1:11" x14ac:dyDescent="0.25">
      <c r="A116" t="s">
        <v>1019</v>
      </c>
      <c r="B116" t="s">
        <v>1020</v>
      </c>
      <c r="C116" t="s">
        <v>1021</v>
      </c>
      <c r="D116" t="s">
        <v>1022</v>
      </c>
      <c r="E116" t="s">
        <v>1023</v>
      </c>
      <c r="F116" t="s">
        <v>1024</v>
      </c>
      <c r="G116" t="s">
        <v>533</v>
      </c>
      <c r="H116" t="s">
        <v>125</v>
      </c>
      <c r="I116" t="s">
        <v>1025</v>
      </c>
      <c r="J116" t="s">
        <v>1026</v>
      </c>
      <c r="K116" t="s">
        <v>77</v>
      </c>
    </row>
    <row r="117" spans="1:11" x14ac:dyDescent="0.25">
      <c r="A117" t="s">
        <v>1027</v>
      </c>
      <c r="B117" t="s">
        <v>1028</v>
      </c>
      <c r="C117" t="s">
        <v>768</v>
      </c>
      <c r="D117" t="s">
        <v>1029</v>
      </c>
      <c r="E117" t="s">
        <v>1030</v>
      </c>
      <c r="F117" t="s">
        <v>1031</v>
      </c>
      <c r="G117" t="s">
        <v>475</v>
      </c>
      <c r="H117" t="s">
        <v>125</v>
      </c>
      <c r="I117" t="s">
        <v>1032</v>
      </c>
      <c r="J117" t="s">
        <v>1033</v>
      </c>
      <c r="K117" t="s">
        <v>77</v>
      </c>
    </row>
    <row r="118" spans="1:11" x14ac:dyDescent="0.25">
      <c r="A118" t="s">
        <v>1034</v>
      </c>
      <c r="B118" t="s">
        <v>1035</v>
      </c>
      <c r="C118" t="s">
        <v>1036</v>
      </c>
      <c r="D118" t="s">
        <v>1037</v>
      </c>
      <c r="E118" t="s">
        <v>1038</v>
      </c>
      <c r="F118" t="s">
        <v>1039</v>
      </c>
      <c r="G118" t="s">
        <v>1040</v>
      </c>
      <c r="H118" t="s">
        <v>125</v>
      </c>
      <c r="I118" t="s">
        <v>1041</v>
      </c>
      <c r="J118" t="s">
        <v>1042</v>
      </c>
      <c r="K118" t="s">
        <v>77</v>
      </c>
    </row>
    <row r="119" spans="1:11" x14ac:dyDescent="0.25">
      <c r="A119" t="s">
        <v>1043</v>
      </c>
      <c r="B119" t="s">
        <v>1044</v>
      </c>
      <c r="C119" t="s">
        <v>921</v>
      </c>
      <c r="D119" t="s">
        <v>1045</v>
      </c>
      <c r="E119" t="s">
        <v>1046</v>
      </c>
      <c r="F119" t="s">
        <v>1047</v>
      </c>
      <c r="G119" t="s">
        <v>323</v>
      </c>
      <c r="H119" t="s">
        <v>125</v>
      </c>
      <c r="I119" t="s">
        <v>1048</v>
      </c>
      <c r="J119" t="s">
        <v>1049</v>
      </c>
      <c r="K119" t="s">
        <v>78</v>
      </c>
    </row>
    <row r="120" spans="1:11" x14ac:dyDescent="0.25">
      <c r="A120" t="s">
        <v>1050</v>
      </c>
      <c r="B120" t="s">
        <v>1051</v>
      </c>
      <c r="C120" t="s">
        <v>1052</v>
      </c>
      <c r="D120" t="s">
        <v>1053</v>
      </c>
      <c r="E120" t="s">
        <v>1054</v>
      </c>
      <c r="F120" t="s">
        <v>1055</v>
      </c>
      <c r="G120" t="s">
        <v>170</v>
      </c>
      <c r="H120" t="s">
        <v>125</v>
      </c>
      <c r="I120" t="s">
        <v>1056</v>
      </c>
      <c r="J120" t="s">
        <v>1057</v>
      </c>
      <c r="K120" t="s">
        <v>77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98A7E-35C4-4167-A321-2F7C44F7ABE1}">
  <sheetPr codeName="Sheet4"/>
  <dimension ref="A1:A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</cols>
  <sheetData>
    <row r="1" spans="1:1" x14ac:dyDescent="0.25">
      <c r="A1" s="1" t="s">
        <v>0</v>
      </c>
    </row>
    <row r="2" spans="1:1" x14ac:dyDescent="0.25">
      <c r="A2" t="s">
        <v>77</v>
      </c>
    </row>
    <row r="3" spans="1:1" x14ac:dyDescent="0.25">
      <c r="A3" t="s">
        <v>78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559F2-58CC-4E8A-866E-7D6FCCADCF31}">
  <sheetPr codeName="Sheet1"/>
  <dimension ref="A1:A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</cols>
  <sheetData>
    <row r="1" spans="1:1" x14ac:dyDescent="0.25">
      <c r="A1" s="1" t="s">
        <v>0</v>
      </c>
    </row>
    <row r="2" spans="1:1" x14ac:dyDescent="0.25">
      <c r="A2" t="s">
        <v>79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EAF24-149E-477F-B5B7-0B2F57C8811D}">
  <sheetPr codeName="Sheet2"/>
  <dimension ref="A1:A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3.42578125" bestFit="1" customWidth="1"/>
  </cols>
  <sheetData>
    <row r="1" spans="1:1" x14ac:dyDescent="0.25">
      <c r="A1" s="1" t="s">
        <v>0</v>
      </c>
    </row>
    <row r="2" spans="1:1" x14ac:dyDescent="0.25">
      <c r="A2" t="s">
        <v>86</v>
      </c>
    </row>
    <row r="3" spans="1:1" x14ac:dyDescent="0.25">
      <c r="A3" t="s">
        <v>87</v>
      </c>
    </row>
    <row r="4" spans="1:1" x14ac:dyDescent="0.25">
      <c r="A4" t="s">
        <v>88</v>
      </c>
    </row>
    <row r="5" spans="1:1" x14ac:dyDescent="0.25">
      <c r="A5" t="s">
        <v>89</v>
      </c>
    </row>
    <row r="6" spans="1:1" x14ac:dyDescent="0.25">
      <c r="A6" t="s">
        <v>90</v>
      </c>
    </row>
    <row r="7" spans="1:1" x14ac:dyDescent="0.25">
      <c r="A7" t="s">
        <v>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80509-3B63-4414-847E-4494C67A21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Generate</vt:lpstr>
      <vt:lpstr>Schema</vt:lpstr>
      <vt:lpstr>Workflows</vt:lpstr>
      <vt:lpstr>Data Type</vt:lpstr>
      <vt:lpstr>Member</vt:lpstr>
      <vt:lpstr>Language</vt:lpstr>
      <vt:lpstr>Output Type</vt:lpstr>
      <vt:lpstr>Report File Type</vt:lpstr>
      <vt:lpstr>ApprovalType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Galen Sprout</dc:creator>
  <cp:lastModifiedBy>Heejin Ko</cp:lastModifiedBy>
  <cp:lastPrinted>2020-05-04T19:53:15Z</cp:lastPrinted>
  <dcterms:created xsi:type="dcterms:W3CDTF">2015-06-05T18:17:20Z</dcterms:created>
  <dcterms:modified xsi:type="dcterms:W3CDTF">2020-10-13T14:13:29Z</dcterms:modified>
</cp:coreProperties>
</file>